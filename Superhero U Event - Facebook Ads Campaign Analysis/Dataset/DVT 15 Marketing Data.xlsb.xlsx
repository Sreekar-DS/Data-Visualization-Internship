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REEKAR7278\Downloads\"/>
    </mc:Choice>
  </mc:AlternateContent>
  <xr:revisionPtr revIDLastSave="0" documentId="13_ncr:1_{96ED24F1-06AB-4E01-A09C-C90E2C14A0FA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ampaigns_Data" sheetId="1" r:id="rId1"/>
    <sheet name="Sheet1" sheetId="3" r:id="rId2"/>
    <sheet name="Campaign Countries" sheetId="2" r:id="rId3"/>
  </sheets>
  <calcPr calcId="191029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2" i="1"/>
</calcChain>
</file>

<file path=xl/sharedStrings.xml><?xml version="1.0" encoding="utf-8"?>
<sst xmlns="http://schemas.openxmlformats.org/spreadsheetml/2006/main" count="381" uniqueCount="75">
  <si>
    <t>campaign ID</t>
  </si>
  <si>
    <t>Campaign Name</t>
  </si>
  <si>
    <t>Audience</t>
  </si>
  <si>
    <t>Age</t>
  </si>
  <si>
    <t>Geography</t>
  </si>
  <si>
    <t>Reach</t>
  </si>
  <si>
    <t>Impressions</t>
  </si>
  <si>
    <t>Frequency</t>
  </si>
  <si>
    <t>Clicks</t>
  </si>
  <si>
    <t>Unique Clicks</t>
  </si>
  <si>
    <t>Unique Link Clicks (ULC)</t>
  </si>
  <si>
    <t>Click-Through Rate (CTR)</t>
  </si>
  <si>
    <t>Unique Click-Through Rate (Unique CTR)</t>
  </si>
  <si>
    <t>Cost Per Click (CPC)</t>
  </si>
  <si>
    <t>Cost per Result (CPR)</t>
  </si>
  <si>
    <t>Campaign 1</t>
  </si>
  <si>
    <t>SHU_6 (Educators and Principals)</t>
  </si>
  <si>
    <t>Educators and Principals</t>
  </si>
  <si>
    <t>25-34</t>
  </si>
  <si>
    <t>35-44</t>
  </si>
  <si>
    <t>45-54</t>
  </si>
  <si>
    <t>55-64</t>
  </si>
  <si>
    <t>Campaign 2</t>
  </si>
  <si>
    <t>SHU3_ (Students Apart from India and US)</t>
  </si>
  <si>
    <t>Students</t>
  </si>
  <si>
    <t>18-24</t>
  </si>
  <si>
    <t>13-17</t>
  </si>
  <si>
    <t>Campaign 3</t>
  </si>
  <si>
    <t>SHU_Students(Australia)</t>
  </si>
  <si>
    <t>Australia</t>
  </si>
  <si>
    <t>Campaign 4</t>
  </si>
  <si>
    <t>SHU_Students (Canada)</t>
  </si>
  <si>
    <t>Canada</t>
  </si>
  <si>
    <t>Campaign 5</t>
  </si>
  <si>
    <t>SHU_Students(Ghana)</t>
  </si>
  <si>
    <t>Ghana</t>
  </si>
  <si>
    <t>Campaign 6</t>
  </si>
  <si>
    <t>SHU_Students (India)</t>
  </si>
  <si>
    <t>India</t>
  </si>
  <si>
    <t>Campaign 7</t>
  </si>
  <si>
    <t>SHU_Students(Nepal)</t>
  </si>
  <si>
    <t>Nepal</t>
  </si>
  <si>
    <t>Campaign 8</t>
  </si>
  <si>
    <t>SHU_Students (Nigeria)</t>
  </si>
  <si>
    <t>Nigeria</t>
  </si>
  <si>
    <t>Campaign 9</t>
  </si>
  <si>
    <t>SHU_Students(UAE)</t>
  </si>
  <si>
    <t>UAE</t>
  </si>
  <si>
    <t>Campaign 10</t>
  </si>
  <si>
    <t>SHU_Students(UK)</t>
  </si>
  <si>
    <t>UK</t>
  </si>
  <si>
    <t>Campaign 11</t>
  </si>
  <si>
    <t>SHU_Students (USA)</t>
  </si>
  <si>
    <t>USA</t>
  </si>
  <si>
    <t>Australia, Canada, United Kingdom, Ghana, Nigeria, Pakistan, United States</t>
  </si>
  <si>
    <t>Australia, Canada, United Kingdom, Ghana, Niger, Nigeria, Nepal, Pakistan, Thailand, Taiwan</t>
  </si>
  <si>
    <t>Niger</t>
  </si>
  <si>
    <t>Pakistan</t>
  </si>
  <si>
    <t>Thailand</t>
  </si>
  <si>
    <t>Taiwan</t>
  </si>
  <si>
    <t>Country</t>
  </si>
  <si>
    <t>Grand Total</t>
  </si>
  <si>
    <t>Amount Spent in USD</t>
  </si>
  <si>
    <t>Total Reach</t>
  </si>
  <si>
    <t>Total Impressions</t>
  </si>
  <si>
    <t>Total Frequency</t>
  </si>
  <si>
    <t>Total Clicks</t>
  </si>
  <si>
    <t>Total Unique Clicks</t>
  </si>
  <si>
    <t>Total Unique Link Clicks (ULC)</t>
  </si>
  <si>
    <t>Total Click-Through Rate (CTR)</t>
  </si>
  <si>
    <t>Total (Unique CTR)</t>
  </si>
  <si>
    <t>Total Amount Spent in USD</t>
  </si>
  <si>
    <t>Total Cost Per Click (CPC)</t>
  </si>
  <si>
    <t>Total Cost per Result (CPR)</t>
  </si>
  <si>
    <t>Campaign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</si>
</sst>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0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pivotButton="1"/>
    <xf numFmtId="0" fontId="0" fillId="0" borderId="0" xfId="0" applyNumberFormat="1"/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KAR7278" refreshedDate="45685.893042939817" createdVersion="8" refreshedVersion="8" minRefreshableVersion="3" recordCount="33" xr:uid="{4E70FBF7-7460-4A5F-B1F0-96F4C738FFAA}">
  <cacheSource type="worksheet">
    <worksheetSource ref="A1:P34" sheet="Campaigns_Data"/>
  </cacheSource>
  <cacheFields count="16">
    <cacheField name="campaign ID" numFmtId="0">
      <sharedItems count="11">
        <s v="Campaign 1"/>
        <s v="Campaign 2"/>
        <s v="Campaign 3"/>
        <s v="Campaign 4"/>
        <s v="Campaign 5"/>
        <s v="Campaign 6"/>
        <s v="Campaign 7"/>
        <s v="Campaign 8"/>
        <s v="Campaign 9"/>
        <s v="Campaign 10"/>
        <s v="Campaign 11"/>
      </sharedItems>
    </cacheField>
    <cacheField name="Campaign Name" numFmtId="0">
      <sharedItems/>
    </cacheField>
    <cacheField name="Audience" numFmtId="0">
      <sharedItems/>
    </cacheField>
    <cacheField name="Age" numFmtId="0">
      <sharedItems/>
    </cacheField>
    <cacheField name="Geography" numFmtId="0">
      <sharedItems/>
    </cacheField>
    <cacheField name="Reach" numFmtId="0">
      <sharedItems containsSemiMixedTypes="0" containsString="0" containsNumber="1" containsInteger="1" minValue="91" maxValue="30110"/>
    </cacheField>
    <cacheField name="Impressions" numFmtId="0">
      <sharedItems containsSemiMixedTypes="0" containsString="0" containsNumber="1" containsInteger="1" minValue="103" maxValue="39161"/>
    </cacheField>
    <cacheField name="Frequency" numFmtId="0">
      <sharedItems containsSemiMixedTypes="0" containsString="0" containsNumber="1" minValue="1.042613636" maxValue="3.1690805530000001"/>
    </cacheField>
    <cacheField name="Clicks" numFmtId="0">
      <sharedItems containsSemiMixedTypes="0" containsString="0" containsNumber="1" containsInteger="1" minValue="9" maxValue="2593"/>
    </cacheField>
    <cacheField name="Unique Clicks" numFmtId="0">
      <sharedItems containsSemiMixedTypes="0" containsString="0" containsNumber="1" containsInteger="1" minValue="8" maxValue="1994"/>
    </cacheField>
    <cacheField name="Unique Link Clicks (ULC)" numFmtId="0">
      <sharedItems containsSemiMixedTypes="0" containsString="0" containsNumber="1" containsInteger="1" minValue="3" maxValue="1095"/>
    </cacheField>
    <cacheField name="Click-Through Rate (CTR)" numFmtId="10">
      <sharedItems containsSemiMixedTypes="0" containsString="0" containsNumber="1" minValue="1.6688918558077435E-2" maxValue="0.12951807228915663"/>
    </cacheField>
    <cacheField name="Unique Click-Through Rate (Unique CTR)" numFmtId="10">
      <sharedItems containsSemiMixedTypes="0" containsString="0" containsNumber="1" minValue="1.2632227585498614E-2" maxValue="0.11144578313253012"/>
    </cacheField>
    <cacheField name="Amount Spent in INR" numFmtId="164">
      <sharedItems containsSemiMixedTypes="0" containsString="0" containsNumber="1" minValue="47.26" maxValue="1193.94"/>
    </cacheField>
    <cacheField name="Cost Per Click (CPC)" numFmtId="164">
      <sharedItems containsSemiMixedTypes="0" containsString="0" containsNumber="1" minValue="0.29093766999999998" maxValue="10.18469247"/>
    </cacheField>
    <cacheField name="Cost per Result (CPR)" numFmtId="164">
      <sharedItems containsSemiMixedTypes="0" containsString="0" containsNumber="1" minValue="0.69" maxValue="30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x v="0"/>
    <s v="SHU_6 (Educators and Principals)"/>
    <s v="Educators and Principals"/>
    <s v="25-34"/>
    <s v="Australia, Canada, United Kingdom, Ghana, Nigeria, Pakistan, United States"/>
    <n v="11387"/>
    <n v="23283"/>
    <n v="2.0447000970000002"/>
    <n v="487"/>
    <n v="406"/>
    <n v="180"/>
    <n v="2.0916548554739508E-2"/>
    <n v="1.7437615427565178E-2"/>
    <n v="1092.24"/>
    <n v="2.2427900900000002"/>
    <n v="6.07"/>
  </r>
  <r>
    <x v="0"/>
    <s v="SHU_6 (Educators and Principals)"/>
    <s v="Educators and Principals"/>
    <s v="35-44"/>
    <s v="Australia, Canada, United Kingdom, Ghana, Nigeria, Pakistan, United States"/>
    <n v="8761"/>
    <n v="15683"/>
    <n v="1.7900924549999999"/>
    <n v="484"/>
    <n v="376"/>
    <n v="154"/>
    <n v="3.0861442326085571E-2"/>
    <n v="2.3975004782248295E-2"/>
    <n v="835.46"/>
    <n v="1.7261653800000001"/>
    <n v="5.43"/>
  </r>
  <r>
    <x v="0"/>
    <s v="SHU_6 (Educators and Principals)"/>
    <s v="Educators and Principals"/>
    <s v="45-54"/>
    <s v="Australia, Canada, United Kingdom, Ghana, Nigeria, Pakistan, United States"/>
    <n v="2867"/>
    <n v="6283"/>
    <n v="2.191489362"/>
    <n v="198"/>
    <n v="145"/>
    <n v="65"/>
    <n v="3.1513608148973422E-2"/>
    <n v="2.3078147381823969E-2"/>
    <n v="319.38"/>
    <n v="1.6130377300000001"/>
    <n v="4.91"/>
  </r>
  <r>
    <x v="0"/>
    <s v="SHU_6 (Educators and Principals)"/>
    <s v="Educators and Principals"/>
    <s v="55-64"/>
    <s v="Australia, Canada, United Kingdom, Ghana, Nigeria, Pakistan, United States"/>
    <n v="889"/>
    <n v="1890"/>
    <n v="2.1259842519999999"/>
    <n v="49"/>
    <n v="40"/>
    <n v="21"/>
    <n v="2.5925925925925925E-2"/>
    <n v="2.1164021164021163E-2"/>
    <n v="86.25"/>
    <n v="1.76011659"/>
    <n v="4.1100000000000003"/>
  </r>
  <r>
    <x v="1"/>
    <s v="SHU3_ (Students Apart from India and US)"/>
    <s v="Students"/>
    <s v="18-24"/>
    <s v="Australia, Canada, United Kingdom, Ghana, Niger, Nigeria, Nepal, Pakistan, Thailand, Taiwan"/>
    <n v="29675"/>
    <n v="39161"/>
    <n v="1.319663016"/>
    <n v="2593"/>
    <n v="1994"/>
    <n v="1095"/>
    <n v="6.621383519317689E-2"/>
    <n v="5.09180051581931E-2"/>
    <n v="1193.94"/>
    <n v="0.46044803000000001"/>
    <n v="1.0900000000000001"/>
  </r>
  <r>
    <x v="1"/>
    <s v="SHU3_ (Students Apart from India and US)"/>
    <s v="Students"/>
    <s v="13-17"/>
    <s v="Australia, Canada, United Kingdom, Ghana, Niger, Nigeria, Nepal, Pakistan, Thailand, Taiwan"/>
    <n v="14753"/>
    <n v="25705"/>
    <n v="1.742357487"/>
    <n v="969"/>
    <n v="698"/>
    <n v="435"/>
    <n v="3.7696946119432015E-2"/>
    <n v="2.7154250145886013E-2"/>
    <n v="299.51"/>
    <n v="0.30908815000000001"/>
    <n v="0.69"/>
  </r>
  <r>
    <x v="1"/>
    <s v="SHU3_ (Students Apart from India and US)"/>
    <s v="Students"/>
    <s v="25-34"/>
    <s v="Australia, Canada, United Kingdom, Ghana, Niger, Nigeria, Nepal, Pakistan, Thailand, Taiwan"/>
    <n v="2066"/>
    <n v="2447"/>
    <n v="1.184414327"/>
    <n v="181"/>
    <n v="141"/>
    <n v="65"/>
    <n v="7.3968124233755622E-2"/>
    <n v="5.762157744176543E-2"/>
    <n v="85.57"/>
    <n v="0.47277255000000001"/>
    <n v="1.32"/>
  </r>
  <r>
    <x v="2"/>
    <s v="SHU_Students(Australia)"/>
    <s v="Students"/>
    <s v="13-17"/>
    <s v="Australia"/>
    <n v="2271"/>
    <n v="2616"/>
    <n v="1.151915456"/>
    <n v="61"/>
    <n v="55"/>
    <n v="28"/>
    <n v="2.3318042813455658E-2"/>
    <n v="2.1024464831804281E-2"/>
    <n v="475.85"/>
    <n v="7.8007930099999996"/>
    <n v="16.989999999999998"/>
  </r>
  <r>
    <x v="2"/>
    <s v="SHU_Students(Australia)"/>
    <s v="Students"/>
    <s v="18-24"/>
    <s v="Australia"/>
    <n v="704"/>
    <n v="734"/>
    <n v="1.042613636"/>
    <n v="49"/>
    <n v="46"/>
    <n v="13"/>
    <n v="6.67574931880109E-2"/>
    <n v="6.2670299727520432E-2"/>
    <n v="283.17"/>
    <n v="5.7789672200000002"/>
    <n v="21.78"/>
  </r>
  <r>
    <x v="2"/>
    <s v="SHU_Students(Australia)"/>
    <s v="Students"/>
    <s v="25-34"/>
    <s v="Australia"/>
    <n v="212"/>
    <n v="222"/>
    <n v="1.0471698110000001"/>
    <n v="9"/>
    <n v="8"/>
    <n v="3"/>
    <n v="4.0540540540540543E-2"/>
    <n v="3.6036036036036036E-2"/>
    <n v="91.66"/>
    <n v="10.18469247"/>
    <n v="30.55"/>
  </r>
  <r>
    <x v="3"/>
    <s v="SHU_Students (Canada)"/>
    <s v="Students"/>
    <s v="13-17"/>
    <s v="Canada"/>
    <n v="2330"/>
    <n v="3146"/>
    <n v="1.3502145919999999"/>
    <n v="101"/>
    <n v="84"/>
    <n v="63"/>
    <n v="3.2104259376986646E-2"/>
    <n v="2.6700572155117609E-2"/>
    <n v="528.08000000000004"/>
    <n v="5.2284878700000004"/>
    <n v="8.3800000000000008"/>
  </r>
  <r>
    <x v="3"/>
    <s v="SHU_Students (Canada)"/>
    <s v="Students"/>
    <s v="18-24"/>
    <s v="Canada"/>
    <n v="759"/>
    <n v="878"/>
    <n v="1.1567852439999999"/>
    <n v="52"/>
    <n v="44"/>
    <n v="34"/>
    <n v="5.9225512528473807E-2"/>
    <n v="5.011389521640091E-2"/>
    <n v="294.82"/>
    <n v="5.6696015500000003"/>
    <n v="8.67"/>
  </r>
  <r>
    <x v="3"/>
    <s v="SHU_Students (Canada)"/>
    <s v="Students"/>
    <s v="25-34"/>
    <s v="Canada"/>
    <n v="218"/>
    <n v="243"/>
    <n v="1.1146788990000001"/>
    <n v="18"/>
    <n v="18"/>
    <n v="15"/>
    <n v="7.407407407407407E-2"/>
    <n v="7.407407407407407E-2"/>
    <n v="101.06"/>
    <n v="5.6146358100000002"/>
    <n v="6.74"/>
  </r>
  <r>
    <x v="4"/>
    <s v="SHU_Students(Ghana)"/>
    <s v="Students"/>
    <s v="18-24"/>
    <s v="Ghana"/>
    <n v="5952"/>
    <n v="6943"/>
    <n v="1.1664986559999999"/>
    <n v="284"/>
    <n v="238"/>
    <n v="98"/>
    <n v="4.0904508137692641E-2"/>
    <n v="3.4279130059052282E-2"/>
    <n v="378.1"/>
    <n v="1.33135077"/>
    <n v="3.86"/>
  </r>
  <r>
    <x v="4"/>
    <s v="SHU_Students(Ghana)"/>
    <s v="Students"/>
    <s v="25-34"/>
    <s v="Ghana"/>
    <n v="3717"/>
    <n v="4620"/>
    <n v="1.2429378529999999"/>
    <n v="184"/>
    <n v="160"/>
    <n v="46"/>
    <n v="3.9826839826839829E-2"/>
    <n v="3.4632034632034632E-2"/>
    <n v="282.22000000000003"/>
    <n v="1.5337844199999999"/>
    <n v="6.14"/>
  </r>
  <r>
    <x v="4"/>
    <s v="SHU_Students(Ghana)"/>
    <s v="Students"/>
    <s v="13-17"/>
    <s v="Ghana"/>
    <n v="5355"/>
    <n v="8920"/>
    <n v="1.6657329599999999"/>
    <n v="180"/>
    <n v="154"/>
    <n v="93"/>
    <n v="2.0179372197309416E-2"/>
    <n v="1.7264573991031391E-2"/>
    <n v="177.46"/>
    <n v="0.98588916000000004"/>
    <n v="1.91"/>
  </r>
  <r>
    <x v="5"/>
    <s v="SHU_Students (India)"/>
    <s v="Students"/>
    <s v="18-24"/>
    <s v="India"/>
    <n v="30110"/>
    <n v="35372"/>
    <n v="1.174759216"/>
    <n v="1308"/>
    <n v="1162"/>
    <n v="934"/>
    <n v="3.6978400995137398E-2"/>
    <n v="3.2850842474273438E-2"/>
    <n v="894"/>
    <n v="0.68348251999999998"/>
    <n v="0.96"/>
  </r>
  <r>
    <x v="5"/>
    <s v="SHU_Students (India)"/>
    <s v="Students"/>
    <s v="25-34"/>
    <s v="India"/>
    <n v="1721"/>
    <n v="1874"/>
    <n v="1.088901801"/>
    <n v="92"/>
    <n v="76"/>
    <n v="53"/>
    <n v="4.909284951974386E-2"/>
    <n v="4.0554962646744928E-2"/>
    <n v="61.21"/>
    <n v="0.66537891000000005"/>
    <n v="1.1499999999999999"/>
  </r>
  <r>
    <x v="6"/>
    <s v="SHU_Students(Nepal)"/>
    <s v="Students"/>
    <s v="18-24"/>
    <s v="Nepal"/>
    <n v="18900"/>
    <n v="36659"/>
    <n v="1.93962963"/>
    <n v="849"/>
    <n v="688"/>
    <n v="306"/>
    <n v="2.3159387872009603E-2"/>
    <n v="1.8767560489920621E-2"/>
    <n v="634.64"/>
    <n v="0.74751528"/>
    <n v="2.0699999999999998"/>
  </r>
  <r>
    <x v="6"/>
    <s v="SHU_Students(Nepal)"/>
    <s v="Students"/>
    <s v="13-17"/>
    <s v="Nepal"/>
    <n v="6145"/>
    <n v="19474"/>
    <n v="3.1690805530000001"/>
    <n v="325"/>
    <n v="246"/>
    <n v="129"/>
    <n v="1.6688918558077435E-2"/>
    <n v="1.2632227585498614E-2"/>
    <n v="211.76"/>
    <n v="0.65156015"/>
    <n v="1.64"/>
  </r>
  <r>
    <x v="6"/>
    <s v="SHU_Students(Nepal)"/>
    <s v="Students"/>
    <s v="25-34"/>
    <s v="Nepal"/>
    <n v="4623"/>
    <n v="9082"/>
    <n v="1.9645252"/>
    <n v="246"/>
    <n v="212"/>
    <n v="83"/>
    <n v="2.7086544813917639E-2"/>
    <n v="2.3342876018498129E-2"/>
    <n v="188.84"/>
    <n v="0.76765236000000003"/>
    <n v="2.2799999999999998"/>
  </r>
  <r>
    <x v="7"/>
    <s v="SHU_Students (Nigeria)"/>
    <s v="Students"/>
    <s v="18-24"/>
    <s v="Nigeria"/>
    <n v="11027"/>
    <n v="13820"/>
    <n v="1.253287386"/>
    <n v="1491"/>
    <n v="1132"/>
    <n v="548"/>
    <n v="0.10788712011577424"/>
    <n v="8.1910274963820556E-2"/>
    <n v="542.66999999999996"/>
    <n v="0.36396574999999998"/>
    <n v="0.99"/>
  </r>
  <r>
    <x v="7"/>
    <s v="SHU_Students (Nigeria)"/>
    <s v="Students"/>
    <s v="13-17"/>
    <s v="Nigeria"/>
    <n v="8516"/>
    <n v="12372"/>
    <n v="1.452794739"/>
    <n v="970"/>
    <n v="696"/>
    <n v="408"/>
    <n v="7.8402845134173935E-2"/>
    <n v="5.6256062075654707E-2"/>
    <n v="282.20999999999998"/>
    <n v="0.29093766999999998"/>
    <n v="0.69"/>
  </r>
  <r>
    <x v="7"/>
    <s v="SHU_Students (Nigeria)"/>
    <s v="Students"/>
    <s v="25-34"/>
    <s v="Nigeria"/>
    <n v="2386"/>
    <n v="2782"/>
    <n v="1.1659681479999999"/>
    <n v="304"/>
    <n v="230"/>
    <n v="117"/>
    <n v="0.10927390366642703"/>
    <n v="8.2674335010783612E-2"/>
    <n v="117.9"/>
    <n v="0.38782084999999999"/>
    <n v="1.01"/>
  </r>
  <r>
    <x v="8"/>
    <s v="SHU_Students(UAE)"/>
    <s v="Students"/>
    <s v="25-34"/>
    <s v="UAE"/>
    <n v="2892"/>
    <n v="3347"/>
    <n v="1.157330567"/>
    <n v="135"/>
    <n v="102"/>
    <n v="41"/>
    <n v="4.0334628025097102E-2"/>
    <n v="3.0475052285628922E-2"/>
    <n v="455.49"/>
    <n v="3.3739992999999999"/>
    <n v="11.11"/>
  </r>
  <r>
    <x v="8"/>
    <s v="SHU_Students(UAE)"/>
    <s v="Students"/>
    <s v="18-24"/>
    <s v="UAE"/>
    <n v="2862"/>
    <n v="3234"/>
    <n v="1.1299790359999999"/>
    <n v="72"/>
    <n v="60"/>
    <n v="27"/>
    <n v="2.2263450834879406E-2"/>
    <n v="1.8552875695732839E-2"/>
    <n v="316.14"/>
    <n v="4.3908387800000002"/>
    <n v="11.71"/>
  </r>
  <r>
    <x v="8"/>
    <s v="SHU_Students(UAE)"/>
    <s v="Students"/>
    <s v="13-17"/>
    <s v="UAE"/>
    <n v="1579"/>
    <n v="2079"/>
    <n v="1.3166561109999999"/>
    <n v="35"/>
    <n v="32"/>
    <n v="20"/>
    <n v="1.6835016835016835E-2"/>
    <n v="1.5392015392015393E-2"/>
    <n v="104.63"/>
    <n v="2.98942007"/>
    <n v="5.23"/>
  </r>
  <r>
    <x v="9"/>
    <s v="SHU_Students(UK)"/>
    <s v="Students"/>
    <s v="13-17"/>
    <s v="UK"/>
    <n v="2557"/>
    <n v="2941"/>
    <n v="1.1501759869999999"/>
    <n v="69"/>
    <n v="60"/>
    <n v="33"/>
    <n v="2.3461407684461068E-2"/>
    <n v="2.0401224073444406E-2"/>
    <n v="487.52"/>
    <n v="7.0655072499999996"/>
    <n v="14.77"/>
  </r>
  <r>
    <x v="9"/>
    <s v="SHU_Students(UK)"/>
    <s v="Students"/>
    <s v="18-24"/>
    <s v="UK"/>
    <n v="741"/>
    <n v="785"/>
    <n v="1.059379217"/>
    <n v="39"/>
    <n v="34"/>
    <n v="20"/>
    <n v="4.9681528662420385E-2"/>
    <n v="4.3312101910828023E-2"/>
    <n v="255.57"/>
    <n v="6.5530769199999996"/>
    <n v="12.78"/>
  </r>
  <r>
    <x v="9"/>
    <s v="SHU_Students(UK)"/>
    <s v="Students"/>
    <s v="25-34"/>
    <s v="UK"/>
    <n v="338"/>
    <n v="365"/>
    <n v="1.0798816570000001"/>
    <n v="13"/>
    <n v="11"/>
    <n v="4"/>
    <n v="3.5616438356164383E-2"/>
    <n v="3.0136986301369864E-2"/>
    <n v="113.58"/>
    <n v="8.7369230800000004"/>
    <n v="28.4"/>
  </r>
  <r>
    <x v="10"/>
    <s v="SHU_Students (USA)"/>
    <s v="Students"/>
    <s v="13-17"/>
    <s v="USA"/>
    <n v="2159"/>
    <n v="2465"/>
    <n v="1.1417322830000001"/>
    <n v="126"/>
    <n v="111"/>
    <n v="95"/>
    <n v="5.1115618661257606E-2"/>
    <n v="4.5030425963488843E-2"/>
    <n v="691.28"/>
    <n v="5.4863581899999998"/>
    <n v="7.28"/>
  </r>
  <r>
    <x v="10"/>
    <s v="SHU_Students (USA)"/>
    <s v="Students"/>
    <s v="18-24"/>
    <s v="USA"/>
    <n v="305"/>
    <n v="332"/>
    <n v="1.08852459"/>
    <n v="43"/>
    <n v="37"/>
    <n v="28"/>
    <n v="0.12951807228915663"/>
    <n v="0.11144578313253012"/>
    <n v="159.13999999999999"/>
    <n v="3.7008425200000001"/>
    <n v="5.68"/>
  </r>
  <r>
    <x v="10"/>
    <s v="SHU_Students (USA)"/>
    <s v="Students"/>
    <s v="25-34"/>
    <s v="USA"/>
    <n v="91"/>
    <n v="103"/>
    <n v="1.1318681319999999"/>
    <n v="9"/>
    <n v="8"/>
    <n v="3"/>
    <n v="8.7378640776699032E-2"/>
    <n v="7.7669902912621352E-2"/>
    <n v="47.26"/>
    <n v="5.2514043800000003"/>
    <n v="15.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AA4029-E3FB-40DA-A7F3-EDD534F0F59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:L13" firstHeaderRow="0" firstDataRow="1" firstDataCol="1"/>
  <pivotFields count="16">
    <pivotField axis="axisRow" compact="0" outline="0" showAll="0" nonAutoSortDefault="1">
      <items count="12">
        <item x="0"/>
        <item x="9"/>
        <item x="1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numFmtId="10" outline="0" showAll="0"/>
    <pivotField dataField="1" compact="0" numFmtId="10" outline="0" showAll="0"/>
    <pivotField dataField="1" compact="0" numFmtId="164" outline="0" showAll="0"/>
    <pivotField dataField="1" compact="0" numFmtId="164" outline="0" showAll="0"/>
    <pivotField dataField="1" compact="0" numFmtId="164" outline="0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Total Reach" fld="5" baseField="0" baseItem="0"/>
    <dataField name="Total Impressions" fld="6" baseField="0" baseItem="0"/>
    <dataField name="Total Frequency" fld="7" baseField="0" baseItem="0"/>
    <dataField name="Total Clicks" fld="8" baseField="0" baseItem="0"/>
    <dataField name="Total Unique Clicks" fld="9" baseField="0" baseItem="0"/>
    <dataField name="Total Unique Link Clicks (ULC)" fld="10" baseField="0" baseItem="0"/>
    <dataField name="Total Click-Through Rate (CTR)" fld="11" baseField="0" baseItem="0" numFmtId="10"/>
    <dataField name="Total (Unique CTR)" fld="12" baseField="0" baseItem="0" numFmtId="10"/>
    <dataField name="Total Amount Spent in USD" fld="13" baseField="0" baseItem="0" numFmtId="164"/>
    <dataField name="Total Cost Per Click (CPC)" fld="14" baseField="0" baseItem="0" numFmtId="164"/>
    <dataField name="Total Cost per Result (CPR)" fld="1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4"/>
  <sheetViews>
    <sheetView zoomScaleNormal="100" workbookViewId="0">
      <selection activeCell="J1" sqref="J1"/>
    </sheetView>
  </sheetViews>
  <sheetFormatPr defaultColWidth="12.5546875" defaultRowHeight="15.75" customHeight="1" x14ac:dyDescent="0.25"/>
  <cols>
    <col min="1" max="1" width="12.6640625" bestFit="1" customWidth="1"/>
    <col min="2" max="2" width="32.88671875" customWidth="1"/>
    <col min="3" max="3" width="22.44140625" bestFit="1" customWidth="1"/>
    <col min="4" max="4" width="5.6640625" bestFit="1" customWidth="1"/>
    <col min="5" max="5" width="91.33203125" bestFit="1" customWidth="1"/>
    <col min="6" max="6" width="6.6640625" bestFit="1" customWidth="1"/>
    <col min="7" max="8" width="12.5546875" bestFit="1" customWidth="1"/>
    <col min="9" max="9" width="6.5546875" bestFit="1" customWidth="1"/>
    <col min="10" max="10" width="14" bestFit="1" customWidth="1"/>
    <col min="11" max="11" width="24.5546875" bestFit="1" customWidth="1"/>
    <col min="12" max="12" width="25.33203125" bestFit="1" customWidth="1"/>
    <col min="13" max="13" width="40" bestFit="1" customWidth="1"/>
    <col min="14" max="14" width="20.6640625" bestFit="1" customWidth="1"/>
    <col min="15" max="15" width="20.33203125" bestFit="1" customWidth="1"/>
    <col min="16" max="16" width="21.44140625" bestFit="1" customWidth="1"/>
  </cols>
  <sheetData>
    <row r="1" spans="1:18" ht="15.75" customHeight="1" x14ac:dyDescent="0.25">
      <c r="A1" s="1" t="s">
        <v>74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62</v>
      </c>
      <c r="O1" s="1" t="s">
        <v>13</v>
      </c>
      <c r="P1" s="1" t="s">
        <v>14</v>
      </c>
      <c r="Q1" s="9" t="s">
        <v>0</v>
      </c>
      <c r="R1" s="6" t="s">
        <v>60</v>
      </c>
    </row>
    <row r="2" spans="1:18" ht="15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54</v>
      </c>
      <c r="F2" s="2">
        <v>11387</v>
      </c>
      <c r="G2" s="2">
        <v>23283</v>
      </c>
      <c r="H2" s="2">
        <v>2.0447000970000002</v>
      </c>
      <c r="I2" s="2">
        <v>487</v>
      </c>
      <c r="J2" s="2">
        <v>406</v>
      </c>
      <c r="K2" s="2">
        <v>180</v>
      </c>
      <c r="L2" s="3">
        <f>(I2/G2)</f>
        <v>2.0916548554739508E-2</v>
      </c>
      <c r="M2" s="3">
        <f>J2/G2</f>
        <v>1.7437615427565178E-2</v>
      </c>
      <c r="N2" s="4">
        <v>1092.24</v>
      </c>
      <c r="O2" s="4">
        <v>2.2427900900000002</v>
      </c>
      <c r="P2" s="4">
        <v>6.07</v>
      </c>
      <c r="Q2" s="2" t="s">
        <v>15</v>
      </c>
      <c r="R2" t="s">
        <v>29</v>
      </c>
    </row>
    <row r="3" spans="1:18" ht="15.75" customHeight="1" x14ac:dyDescent="0.25">
      <c r="A3" s="2" t="s">
        <v>15</v>
      </c>
      <c r="B3" s="2" t="s">
        <v>16</v>
      </c>
      <c r="C3" s="2" t="s">
        <v>17</v>
      </c>
      <c r="D3" s="2" t="s">
        <v>19</v>
      </c>
      <c r="E3" s="2" t="s">
        <v>54</v>
      </c>
      <c r="F3" s="2">
        <v>8761</v>
      </c>
      <c r="G3" s="2">
        <v>15683</v>
      </c>
      <c r="H3" s="2">
        <v>1.7900924549999999</v>
      </c>
      <c r="I3" s="2">
        <v>484</v>
      </c>
      <c r="J3" s="2">
        <v>376</v>
      </c>
      <c r="K3" s="2">
        <v>154</v>
      </c>
      <c r="L3" s="3">
        <f t="shared" ref="L3:L34" si="0">(I3/G3)</f>
        <v>3.0861442326085571E-2</v>
      </c>
      <c r="M3" s="3">
        <f t="shared" ref="M3:M34" si="1">J3/G3</f>
        <v>2.3975004782248295E-2</v>
      </c>
      <c r="N3" s="4">
        <v>835.46</v>
      </c>
      <c r="O3" s="4">
        <v>1.7261653800000001</v>
      </c>
      <c r="P3" s="4">
        <v>5.43</v>
      </c>
      <c r="Q3" t="s">
        <v>15</v>
      </c>
      <c r="R3" t="s">
        <v>32</v>
      </c>
    </row>
    <row r="4" spans="1:18" ht="15.75" customHeight="1" x14ac:dyDescent="0.25">
      <c r="A4" s="2" t="s">
        <v>15</v>
      </c>
      <c r="B4" s="2" t="s">
        <v>16</v>
      </c>
      <c r="C4" s="2" t="s">
        <v>17</v>
      </c>
      <c r="D4" s="2" t="s">
        <v>20</v>
      </c>
      <c r="E4" s="2" t="s">
        <v>54</v>
      </c>
      <c r="F4" s="2">
        <v>2867</v>
      </c>
      <c r="G4" s="2">
        <v>6283</v>
      </c>
      <c r="H4" s="2">
        <v>2.191489362</v>
      </c>
      <c r="I4" s="2">
        <v>198</v>
      </c>
      <c r="J4" s="2">
        <v>145</v>
      </c>
      <c r="K4" s="2">
        <v>65</v>
      </c>
      <c r="L4" s="3">
        <f t="shared" si="0"/>
        <v>3.1513608148973422E-2</v>
      </c>
      <c r="M4" s="3">
        <f t="shared" si="1"/>
        <v>2.3078147381823969E-2</v>
      </c>
      <c r="N4" s="4">
        <v>319.38</v>
      </c>
      <c r="O4" s="4">
        <v>1.6130377300000001</v>
      </c>
      <c r="P4" s="4">
        <v>4.91</v>
      </c>
      <c r="Q4" t="s">
        <v>15</v>
      </c>
      <c r="R4" t="s">
        <v>50</v>
      </c>
    </row>
    <row r="5" spans="1:18" ht="15.75" customHeight="1" x14ac:dyDescent="0.25">
      <c r="A5" s="2" t="s">
        <v>15</v>
      </c>
      <c r="B5" s="2" t="s">
        <v>16</v>
      </c>
      <c r="C5" s="2" t="s">
        <v>17</v>
      </c>
      <c r="D5" s="2" t="s">
        <v>21</v>
      </c>
      <c r="E5" s="2" t="s">
        <v>54</v>
      </c>
      <c r="F5" s="2">
        <v>889</v>
      </c>
      <c r="G5" s="2">
        <v>1890</v>
      </c>
      <c r="H5" s="2">
        <v>2.1259842519999999</v>
      </c>
      <c r="I5" s="2">
        <v>49</v>
      </c>
      <c r="J5" s="2">
        <v>40</v>
      </c>
      <c r="K5" s="2">
        <v>21</v>
      </c>
      <c r="L5" s="3">
        <f t="shared" si="0"/>
        <v>2.5925925925925925E-2</v>
      </c>
      <c r="M5" s="3">
        <f t="shared" si="1"/>
        <v>2.1164021164021163E-2</v>
      </c>
      <c r="N5" s="4">
        <v>86.25</v>
      </c>
      <c r="O5" s="4">
        <v>1.76011659</v>
      </c>
      <c r="P5" s="4">
        <v>4.1100000000000003</v>
      </c>
      <c r="Q5" t="s">
        <v>15</v>
      </c>
      <c r="R5" t="s">
        <v>35</v>
      </c>
    </row>
    <row r="6" spans="1:18" ht="15.75" customHeight="1" x14ac:dyDescent="0.25">
      <c r="A6" s="2" t="s">
        <v>22</v>
      </c>
      <c r="B6" s="2" t="s">
        <v>23</v>
      </c>
      <c r="C6" s="2" t="s">
        <v>24</v>
      </c>
      <c r="D6" s="2" t="s">
        <v>25</v>
      </c>
      <c r="E6" s="2" t="s">
        <v>55</v>
      </c>
      <c r="F6" s="2">
        <v>29675</v>
      </c>
      <c r="G6" s="2">
        <v>39161</v>
      </c>
      <c r="H6" s="2">
        <v>1.319663016</v>
      </c>
      <c r="I6" s="2">
        <v>2593</v>
      </c>
      <c r="J6" s="2">
        <v>1994</v>
      </c>
      <c r="K6" s="2">
        <v>1095</v>
      </c>
      <c r="L6" s="3">
        <f t="shared" si="0"/>
        <v>6.621383519317689E-2</v>
      </c>
      <c r="M6" s="3">
        <f t="shared" si="1"/>
        <v>5.09180051581931E-2</v>
      </c>
      <c r="N6" s="4">
        <v>1193.94</v>
      </c>
      <c r="O6" s="4">
        <v>0.46044803000000001</v>
      </c>
      <c r="P6" s="4">
        <v>1.0900000000000001</v>
      </c>
      <c r="Q6" t="s">
        <v>15</v>
      </c>
      <c r="R6" t="s">
        <v>44</v>
      </c>
    </row>
    <row r="7" spans="1:18" ht="15.75" customHeight="1" x14ac:dyDescent="0.25">
      <c r="A7" s="2" t="s">
        <v>22</v>
      </c>
      <c r="B7" s="2" t="s">
        <v>23</v>
      </c>
      <c r="C7" s="2" t="s">
        <v>24</v>
      </c>
      <c r="D7" s="2" t="s">
        <v>26</v>
      </c>
      <c r="E7" s="2" t="s">
        <v>55</v>
      </c>
      <c r="F7" s="2">
        <v>14753</v>
      </c>
      <c r="G7" s="2">
        <v>25705</v>
      </c>
      <c r="H7" s="2">
        <v>1.742357487</v>
      </c>
      <c r="I7" s="2">
        <v>969</v>
      </c>
      <c r="J7" s="2">
        <v>698</v>
      </c>
      <c r="K7" s="2">
        <v>435</v>
      </c>
      <c r="L7" s="3">
        <f t="shared" si="0"/>
        <v>3.7696946119432015E-2</v>
      </c>
      <c r="M7" s="3">
        <f t="shared" si="1"/>
        <v>2.7154250145886013E-2</v>
      </c>
      <c r="N7" s="4">
        <v>299.51</v>
      </c>
      <c r="O7" s="4">
        <v>0.30908815000000001</v>
      </c>
      <c r="P7" s="4">
        <v>0.69</v>
      </c>
      <c r="Q7" t="s">
        <v>15</v>
      </c>
      <c r="R7" t="s">
        <v>57</v>
      </c>
    </row>
    <row r="8" spans="1:18" ht="15.75" customHeight="1" x14ac:dyDescent="0.25">
      <c r="A8" s="2" t="s">
        <v>22</v>
      </c>
      <c r="B8" s="2" t="s">
        <v>23</v>
      </c>
      <c r="C8" s="2" t="s">
        <v>24</v>
      </c>
      <c r="D8" s="2" t="s">
        <v>18</v>
      </c>
      <c r="E8" s="2" t="s">
        <v>55</v>
      </c>
      <c r="F8" s="2">
        <v>2066</v>
      </c>
      <c r="G8" s="2">
        <v>2447</v>
      </c>
      <c r="H8" s="2">
        <v>1.184414327</v>
      </c>
      <c r="I8" s="2">
        <v>181</v>
      </c>
      <c r="J8" s="2">
        <v>141</v>
      </c>
      <c r="K8" s="2">
        <v>65</v>
      </c>
      <c r="L8" s="3">
        <f t="shared" si="0"/>
        <v>7.3968124233755622E-2</v>
      </c>
      <c r="M8" s="3">
        <f t="shared" si="1"/>
        <v>5.762157744176543E-2</v>
      </c>
      <c r="N8" s="4">
        <v>85.57</v>
      </c>
      <c r="O8" s="4">
        <v>0.47277255000000001</v>
      </c>
      <c r="P8" s="4">
        <v>1.32</v>
      </c>
      <c r="Q8" t="s">
        <v>15</v>
      </c>
      <c r="R8" t="s">
        <v>53</v>
      </c>
    </row>
    <row r="9" spans="1:18" ht="15.75" customHeight="1" x14ac:dyDescent="0.25">
      <c r="A9" s="2" t="s">
        <v>27</v>
      </c>
      <c r="B9" s="2" t="s">
        <v>28</v>
      </c>
      <c r="C9" s="2" t="s">
        <v>24</v>
      </c>
      <c r="D9" s="2" t="s">
        <v>26</v>
      </c>
      <c r="E9" s="2" t="s">
        <v>29</v>
      </c>
      <c r="F9" s="2">
        <v>2271</v>
      </c>
      <c r="G9" s="2">
        <v>2616</v>
      </c>
      <c r="H9" s="2">
        <v>1.151915456</v>
      </c>
      <c r="I9" s="2">
        <v>61</v>
      </c>
      <c r="J9" s="2">
        <v>55</v>
      </c>
      <c r="K9" s="2">
        <v>28</v>
      </c>
      <c r="L9" s="3">
        <f t="shared" si="0"/>
        <v>2.3318042813455658E-2</v>
      </c>
      <c r="M9" s="3">
        <f t="shared" si="1"/>
        <v>2.1024464831804281E-2</v>
      </c>
      <c r="N9" s="4">
        <v>475.85</v>
      </c>
      <c r="O9" s="4">
        <v>7.8007930099999996</v>
      </c>
      <c r="P9" s="4">
        <v>16.989999999999998</v>
      </c>
      <c r="Q9" t="s">
        <v>22</v>
      </c>
      <c r="R9" t="s">
        <v>29</v>
      </c>
    </row>
    <row r="10" spans="1:18" ht="15.75" customHeight="1" x14ac:dyDescent="0.25">
      <c r="A10" s="2" t="s">
        <v>27</v>
      </c>
      <c r="B10" s="2" t="s">
        <v>28</v>
      </c>
      <c r="C10" s="2" t="s">
        <v>24</v>
      </c>
      <c r="D10" s="2" t="s">
        <v>25</v>
      </c>
      <c r="E10" s="2" t="s">
        <v>29</v>
      </c>
      <c r="F10" s="2">
        <v>704</v>
      </c>
      <c r="G10" s="2">
        <v>734</v>
      </c>
      <c r="H10" s="2">
        <v>1.042613636</v>
      </c>
      <c r="I10" s="2">
        <v>49</v>
      </c>
      <c r="J10" s="2">
        <v>46</v>
      </c>
      <c r="K10" s="2">
        <v>13</v>
      </c>
      <c r="L10" s="3">
        <f t="shared" si="0"/>
        <v>6.67574931880109E-2</v>
      </c>
      <c r="M10" s="3">
        <f t="shared" si="1"/>
        <v>6.2670299727520432E-2</v>
      </c>
      <c r="N10" s="4">
        <v>283.17</v>
      </c>
      <c r="O10" s="4">
        <v>5.7789672200000002</v>
      </c>
      <c r="P10" s="4">
        <v>21.78</v>
      </c>
      <c r="Q10" t="s">
        <v>22</v>
      </c>
      <c r="R10" t="s">
        <v>32</v>
      </c>
    </row>
    <row r="11" spans="1:18" ht="15.75" customHeight="1" x14ac:dyDescent="0.25">
      <c r="A11" s="2" t="s">
        <v>27</v>
      </c>
      <c r="B11" s="2" t="s">
        <v>28</v>
      </c>
      <c r="C11" s="2" t="s">
        <v>24</v>
      </c>
      <c r="D11" s="2" t="s">
        <v>18</v>
      </c>
      <c r="E11" s="2" t="s">
        <v>29</v>
      </c>
      <c r="F11" s="2">
        <v>212</v>
      </c>
      <c r="G11" s="2">
        <v>222</v>
      </c>
      <c r="H11" s="2">
        <v>1.0471698110000001</v>
      </c>
      <c r="I11" s="2">
        <v>9</v>
      </c>
      <c r="J11" s="2">
        <v>8</v>
      </c>
      <c r="K11" s="2">
        <v>3</v>
      </c>
      <c r="L11" s="3">
        <f t="shared" si="0"/>
        <v>4.0540540540540543E-2</v>
      </c>
      <c r="M11" s="3">
        <f t="shared" si="1"/>
        <v>3.6036036036036036E-2</v>
      </c>
      <c r="N11" s="4">
        <v>91.66</v>
      </c>
      <c r="O11" s="4">
        <v>10.18469247</v>
      </c>
      <c r="P11" s="4">
        <v>30.55</v>
      </c>
      <c r="Q11" t="s">
        <v>22</v>
      </c>
      <c r="R11" t="s">
        <v>50</v>
      </c>
    </row>
    <row r="12" spans="1:18" ht="15.75" customHeight="1" x14ac:dyDescent="0.25">
      <c r="A12" s="2" t="s">
        <v>30</v>
      </c>
      <c r="B12" s="2" t="s">
        <v>31</v>
      </c>
      <c r="C12" s="2" t="s">
        <v>24</v>
      </c>
      <c r="D12" s="2" t="s">
        <v>26</v>
      </c>
      <c r="E12" s="2" t="s">
        <v>32</v>
      </c>
      <c r="F12" s="2">
        <v>2330</v>
      </c>
      <c r="G12" s="2">
        <v>3146</v>
      </c>
      <c r="H12" s="2">
        <v>1.3502145919999999</v>
      </c>
      <c r="I12" s="2">
        <v>101</v>
      </c>
      <c r="J12" s="2">
        <v>84</v>
      </c>
      <c r="K12" s="2">
        <v>63</v>
      </c>
      <c r="L12" s="3">
        <f t="shared" si="0"/>
        <v>3.2104259376986646E-2</v>
      </c>
      <c r="M12" s="3">
        <f t="shared" si="1"/>
        <v>2.6700572155117609E-2</v>
      </c>
      <c r="N12" s="4">
        <v>528.08000000000004</v>
      </c>
      <c r="O12" s="4">
        <v>5.2284878700000004</v>
      </c>
      <c r="P12" s="4">
        <v>8.3800000000000008</v>
      </c>
      <c r="Q12" t="s">
        <v>22</v>
      </c>
      <c r="R12" t="s">
        <v>35</v>
      </c>
    </row>
    <row r="13" spans="1:18" ht="15.75" customHeight="1" x14ac:dyDescent="0.25">
      <c r="A13" s="2" t="s">
        <v>30</v>
      </c>
      <c r="B13" s="2" t="s">
        <v>31</v>
      </c>
      <c r="C13" s="2" t="s">
        <v>24</v>
      </c>
      <c r="D13" s="2" t="s">
        <v>25</v>
      </c>
      <c r="E13" s="2" t="s">
        <v>32</v>
      </c>
      <c r="F13" s="2">
        <v>759</v>
      </c>
      <c r="G13" s="2">
        <v>878</v>
      </c>
      <c r="H13" s="2">
        <v>1.1567852439999999</v>
      </c>
      <c r="I13" s="2">
        <v>52</v>
      </c>
      <c r="J13" s="2">
        <v>44</v>
      </c>
      <c r="K13" s="2">
        <v>34</v>
      </c>
      <c r="L13" s="3">
        <f t="shared" si="0"/>
        <v>5.9225512528473807E-2</v>
      </c>
      <c r="M13" s="3">
        <f t="shared" si="1"/>
        <v>5.011389521640091E-2</v>
      </c>
      <c r="N13" s="4">
        <v>294.82</v>
      </c>
      <c r="O13" s="4">
        <v>5.6696015500000003</v>
      </c>
      <c r="P13" s="4">
        <v>8.67</v>
      </c>
      <c r="Q13" t="s">
        <v>22</v>
      </c>
      <c r="R13" t="s">
        <v>56</v>
      </c>
    </row>
    <row r="14" spans="1:18" ht="15.75" customHeight="1" x14ac:dyDescent="0.25">
      <c r="A14" s="2" t="s">
        <v>30</v>
      </c>
      <c r="B14" s="2" t="s">
        <v>31</v>
      </c>
      <c r="C14" s="2" t="s">
        <v>24</v>
      </c>
      <c r="D14" s="2" t="s">
        <v>18</v>
      </c>
      <c r="E14" s="2" t="s">
        <v>32</v>
      </c>
      <c r="F14" s="2">
        <v>218</v>
      </c>
      <c r="G14" s="2">
        <v>243</v>
      </c>
      <c r="H14" s="2">
        <v>1.1146788990000001</v>
      </c>
      <c r="I14" s="2">
        <v>18</v>
      </c>
      <c r="J14" s="2">
        <v>18</v>
      </c>
      <c r="K14" s="2">
        <v>15</v>
      </c>
      <c r="L14" s="3">
        <f t="shared" si="0"/>
        <v>7.407407407407407E-2</v>
      </c>
      <c r="M14" s="3">
        <f t="shared" si="1"/>
        <v>7.407407407407407E-2</v>
      </c>
      <c r="N14" s="4">
        <v>101.06</v>
      </c>
      <c r="O14" s="4">
        <v>5.6146358100000002</v>
      </c>
      <c r="P14" s="4">
        <v>6.74</v>
      </c>
      <c r="Q14" t="s">
        <v>22</v>
      </c>
      <c r="R14" t="s">
        <v>44</v>
      </c>
    </row>
    <row r="15" spans="1:18" ht="15.75" customHeight="1" x14ac:dyDescent="0.25">
      <c r="A15" s="2" t="s">
        <v>33</v>
      </c>
      <c r="B15" s="2" t="s">
        <v>34</v>
      </c>
      <c r="C15" s="2" t="s">
        <v>24</v>
      </c>
      <c r="D15" s="2" t="s">
        <v>25</v>
      </c>
      <c r="E15" s="2" t="s">
        <v>35</v>
      </c>
      <c r="F15" s="2">
        <v>5952</v>
      </c>
      <c r="G15" s="2">
        <v>6943</v>
      </c>
      <c r="H15" s="2">
        <v>1.1664986559999999</v>
      </c>
      <c r="I15" s="2">
        <v>284</v>
      </c>
      <c r="J15" s="2">
        <v>238</v>
      </c>
      <c r="K15" s="2">
        <v>98</v>
      </c>
      <c r="L15" s="3">
        <f t="shared" si="0"/>
        <v>4.0904508137692641E-2</v>
      </c>
      <c r="M15" s="3">
        <f t="shared" si="1"/>
        <v>3.4279130059052282E-2</v>
      </c>
      <c r="N15" s="4">
        <v>378.1</v>
      </c>
      <c r="O15" s="4">
        <v>1.33135077</v>
      </c>
      <c r="P15" s="4">
        <v>3.86</v>
      </c>
      <c r="Q15" t="s">
        <v>22</v>
      </c>
      <c r="R15" t="s">
        <v>41</v>
      </c>
    </row>
    <row r="16" spans="1:18" ht="15.75" customHeight="1" x14ac:dyDescent="0.25">
      <c r="A16" s="2" t="s">
        <v>33</v>
      </c>
      <c r="B16" s="2" t="s">
        <v>34</v>
      </c>
      <c r="C16" s="2" t="s">
        <v>24</v>
      </c>
      <c r="D16" s="2" t="s">
        <v>18</v>
      </c>
      <c r="E16" s="2" t="s">
        <v>35</v>
      </c>
      <c r="F16" s="2">
        <v>3717</v>
      </c>
      <c r="G16" s="2">
        <v>4620</v>
      </c>
      <c r="H16" s="2">
        <v>1.2429378529999999</v>
      </c>
      <c r="I16" s="2">
        <v>184</v>
      </c>
      <c r="J16" s="2">
        <v>160</v>
      </c>
      <c r="K16" s="2">
        <v>46</v>
      </c>
      <c r="L16" s="3">
        <f t="shared" si="0"/>
        <v>3.9826839826839829E-2</v>
      </c>
      <c r="M16" s="3">
        <f t="shared" si="1"/>
        <v>3.4632034632034632E-2</v>
      </c>
      <c r="N16" s="4">
        <v>282.22000000000003</v>
      </c>
      <c r="O16" s="4">
        <v>1.5337844199999999</v>
      </c>
      <c r="P16" s="4">
        <v>6.14</v>
      </c>
      <c r="Q16" t="s">
        <v>22</v>
      </c>
      <c r="R16" t="s">
        <v>57</v>
      </c>
    </row>
    <row r="17" spans="1:18" ht="15.75" customHeight="1" x14ac:dyDescent="0.25">
      <c r="A17" s="2" t="s">
        <v>33</v>
      </c>
      <c r="B17" s="2" t="s">
        <v>34</v>
      </c>
      <c r="C17" s="2" t="s">
        <v>24</v>
      </c>
      <c r="D17" s="2" t="s">
        <v>26</v>
      </c>
      <c r="E17" s="2" t="s">
        <v>35</v>
      </c>
      <c r="F17" s="2">
        <v>5355</v>
      </c>
      <c r="G17" s="2">
        <v>8920</v>
      </c>
      <c r="H17" s="2">
        <v>1.6657329599999999</v>
      </c>
      <c r="I17" s="2">
        <v>180</v>
      </c>
      <c r="J17" s="2">
        <v>154</v>
      </c>
      <c r="K17" s="2">
        <v>93</v>
      </c>
      <c r="L17" s="3">
        <f t="shared" si="0"/>
        <v>2.0179372197309416E-2</v>
      </c>
      <c r="M17" s="3">
        <f t="shared" si="1"/>
        <v>1.7264573991031391E-2</v>
      </c>
      <c r="N17" s="4">
        <v>177.46</v>
      </c>
      <c r="O17" s="4">
        <v>0.98588916000000004</v>
      </c>
      <c r="P17" s="4">
        <v>1.91</v>
      </c>
      <c r="Q17" t="s">
        <v>22</v>
      </c>
      <c r="R17" t="s">
        <v>58</v>
      </c>
    </row>
    <row r="18" spans="1:18" ht="15.75" customHeight="1" x14ac:dyDescent="0.25">
      <c r="A18" s="2" t="s">
        <v>36</v>
      </c>
      <c r="B18" s="2" t="s">
        <v>37</v>
      </c>
      <c r="C18" s="2" t="s">
        <v>24</v>
      </c>
      <c r="D18" s="2" t="s">
        <v>25</v>
      </c>
      <c r="E18" s="2" t="s">
        <v>38</v>
      </c>
      <c r="F18" s="2">
        <v>30110</v>
      </c>
      <c r="G18" s="2">
        <v>35372</v>
      </c>
      <c r="H18" s="2">
        <v>1.174759216</v>
      </c>
      <c r="I18" s="2">
        <v>1308</v>
      </c>
      <c r="J18" s="2">
        <v>1162</v>
      </c>
      <c r="K18" s="2">
        <v>934</v>
      </c>
      <c r="L18" s="3">
        <f t="shared" si="0"/>
        <v>3.6978400995137398E-2</v>
      </c>
      <c r="M18" s="3">
        <f t="shared" si="1"/>
        <v>3.2850842474273438E-2</v>
      </c>
      <c r="N18" s="4">
        <v>894</v>
      </c>
      <c r="O18" s="4">
        <v>0.68348251999999998</v>
      </c>
      <c r="P18" s="4">
        <v>0.96</v>
      </c>
      <c r="Q18" t="s">
        <v>22</v>
      </c>
      <c r="R18" t="s">
        <v>59</v>
      </c>
    </row>
    <row r="19" spans="1:18" ht="15.75" customHeight="1" x14ac:dyDescent="0.25">
      <c r="A19" s="2" t="s">
        <v>36</v>
      </c>
      <c r="B19" s="2" t="s">
        <v>37</v>
      </c>
      <c r="C19" s="2" t="s">
        <v>24</v>
      </c>
      <c r="D19" s="2" t="s">
        <v>18</v>
      </c>
      <c r="E19" s="2" t="s">
        <v>38</v>
      </c>
      <c r="F19" s="2">
        <v>1721</v>
      </c>
      <c r="G19" s="2">
        <v>1874</v>
      </c>
      <c r="H19" s="2">
        <v>1.088901801</v>
      </c>
      <c r="I19" s="2">
        <v>92</v>
      </c>
      <c r="J19" s="2">
        <v>76</v>
      </c>
      <c r="K19" s="2">
        <v>53</v>
      </c>
      <c r="L19" s="3">
        <f t="shared" si="0"/>
        <v>4.909284951974386E-2</v>
      </c>
      <c r="M19" s="3">
        <f t="shared" si="1"/>
        <v>4.0554962646744928E-2</v>
      </c>
      <c r="N19" s="4">
        <v>61.21</v>
      </c>
      <c r="O19" s="4">
        <v>0.66537891000000005</v>
      </c>
      <c r="P19" s="4">
        <v>1.1499999999999999</v>
      </c>
      <c r="Q19" t="s">
        <v>27</v>
      </c>
      <c r="R19" t="s">
        <v>29</v>
      </c>
    </row>
    <row r="20" spans="1:18" ht="15.75" customHeight="1" x14ac:dyDescent="0.25">
      <c r="A20" s="2" t="s">
        <v>39</v>
      </c>
      <c r="B20" s="2" t="s">
        <v>40</v>
      </c>
      <c r="C20" s="2" t="s">
        <v>24</v>
      </c>
      <c r="D20" s="2" t="s">
        <v>25</v>
      </c>
      <c r="E20" s="2" t="s">
        <v>41</v>
      </c>
      <c r="F20" s="2">
        <v>18900</v>
      </c>
      <c r="G20" s="2">
        <v>36659</v>
      </c>
      <c r="H20" s="2">
        <v>1.93962963</v>
      </c>
      <c r="I20" s="2">
        <v>849</v>
      </c>
      <c r="J20" s="2">
        <v>688</v>
      </c>
      <c r="K20" s="2">
        <v>306</v>
      </c>
      <c r="L20" s="3">
        <f t="shared" si="0"/>
        <v>2.3159387872009603E-2</v>
      </c>
      <c r="M20" s="3">
        <f t="shared" si="1"/>
        <v>1.8767560489920621E-2</v>
      </c>
      <c r="N20" s="4">
        <v>634.64</v>
      </c>
      <c r="O20" s="4">
        <v>0.74751528</v>
      </c>
      <c r="P20" s="4">
        <v>2.0699999999999998</v>
      </c>
      <c r="Q20" t="s">
        <v>27</v>
      </c>
      <c r="R20" t="s">
        <v>29</v>
      </c>
    </row>
    <row r="21" spans="1:18" ht="15.75" customHeight="1" x14ac:dyDescent="0.25">
      <c r="A21" s="2" t="s">
        <v>39</v>
      </c>
      <c r="B21" s="2" t="s">
        <v>40</v>
      </c>
      <c r="C21" s="2" t="s">
        <v>24</v>
      </c>
      <c r="D21" s="2" t="s">
        <v>26</v>
      </c>
      <c r="E21" s="2" t="s">
        <v>41</v>
      </c>
      <c r="F21" s="2">
        <v>6145</v>
      </c>
      <c r="G21" s="2">
        <v>19474</v>
      </c>
      <c r="H21" s="2">
        <v>3.1690805530000001</v>
      </c>
      <c r="I21" s="2">
        <v>325</v>
      </c>
      <c r="J21" s="2">
        <v>246</v>
      </c>
      <c r="K21" s="2">
        <v>129</v>
      </c>
      <c r="L21" s="3">
        <f t="shared" si="0"/>
        <v>1.6688918558077435E-2</v>
      </c>
      <c r="M21" s="3">
        <f t="shared" si="1"/>
        <v>1.2632227585498614E-2</v>
      </c>
      <c r="N21" s="4">
        <v>211.76</v>
      </c>
      <c r="O21" s="4">
        <v>0.65156015</v>
      </c>
      <c r="P21" s="4">
        <v>1.64</v>
      </c>
      <c r="Q21" t="s">
        <v>27</v>
      </c>
      <c r="R21" t="s">
        <v>29</v>
      </c>
    </row>
    <row r="22" spans="1:18" ht="15.75" customHeight="1" x14ac:dyDescent="0.25">
      <c r="A22" s="2" t="s">
        <v>39</v>
      </c>
      <c r="B22" s="2" t="s">
        <v>40</v>
      </c>
      <c r="C22" s="2" t="s">
        <v>24</v>
      </c>
      <c r="D22" s="2" t="s">
        <v>18</v>
      </c>
      <c r="E22" s="2" t="s">
        <v>41</v>
      </c>
      <c r="F22" s="2">
        <v>4623</v>
      </c>
      <c r="G22" s="2">
        <v>9082</v>
      </c>
      <c r="H22" s="2">
        <v>1.9645252</v>
      </c>
      <c r="I22" s="2">
        <v>246</v>
      </c>
      <c r="J22" s="2">
        <v>212</v>
      </c>
      <c r="K22" s="2">
        <v>83</v>
      </c>
      <c r="L22" s="3">
        <f t="shared" si="0"/>
        <v>2.7086544813917639E-2</v>
      </c>
      <c r="M22" s="3">
        <f t="shared" si="1"/>
        <v>2.3342876018498129E-2</v>
      </c>
      <c r="N22" s="4">
        <v>188.84</v>
      </c>
      <c r="O22" s="4">
        <v>0.76765236000000003</v>
      </c>
      <c r="P22" s="4">
        <v>2.2799999999999998</v>
      </c>
      <c r="Q22" t="s">
        <v>30</v>
      </c>
      <c r="R22" t="s">
        <v>32</v>
      </c>
    </row>
    <row r="23" spans="1:18" ht="15.75" customHeight="1" x14ac:dyDescent="0.25">
      <c r="A23" s="2" t="s">
        <v>42</v>
      </c>
      <c r="B23" s="2" t="s">
        <v>43</v>
      </c>
      <c r="C23" s="2" t="s">
        <v>24</v>
      </c>
      <c r="D23" s="2" t="s">
        <v>25</v>
      </c>
      <c r="E23" s="2" t="s">
        <v>44</v>
      </c>
      <c r="F23" s="2">
        <v>11027</v>
      </c>
      <c r="G23" s="2">
        <v>13820</v>
      </c>
      <c r="H23" s="2">
        <v>1.253287386</v>
      </c>
      <c r="I23" s="2">
        <v>1491</v>
      </c>
      <c r="J23" s="2">
        <v>1132</v>
      </c>
      <c r="K23" s="2">
        <v>548</v>
      </c>
      <c r="L23" s="3">
        <f t="shared" si="0"/>
        <v>0.10788712011577424</v>
      </c>
      <c r="M23" s="3">
        <f t="shared" si="1"/>
        <v>8.1910274963820556E-2</v>
      </c>
      <c r="N23" s="4">
        <v>542.66999999999996</v>
      </c>
      <c r="O23" s="4">
        <v>0.36396574999999998</v>
      </c>
      <c r="P23" s="4">
        <v>0.99</v>
      </c>
      <c r="Q23" t="s">
        <v>30</v>
      </c>
      <c r="R23" t="s">
        <v>32</v>
      </c>
    </row>
    <row r="24" spans="1:18" ht="15.75" customHeight="1" x14ac:dyDescent="0.25">
      <c r="A24" s="2" t="s">
        <v>42</v>
      </c>
      <c r="B24" s="2" t="s">
        <v>43</v>
      </c>
      <c r="C24" s="2" t="s">
        <v>24</v>
      </c>
      <c r="D24" s="2" t="s">
        <v>26</v>
      </c>
      <c r="E24" s="2" t="s">
        <v>44</v>
      </c>
      <c r="F24" s="2">
        <v>8516</v>
      </c>
      <c r="G24" s="2">
        <v>12372</v>
      </c>
      <c r="H24" s="2">
        <v>1.452794739</v>
      </c>
      <c r="I24" s="2">
        <v>970</v>
      </c>
      <c r="J24" s="2">
        <v>696</v>
      </c>
      <c r="K24" s="2">
        <v>408</v>
      </c>
      <c r="L24" s="3">
        <f t="shared" si="0"/>
        <v>7.8402845134173935E-2</v>
      </c>
      <c r="M24" s="3">
        <f t="shared" si="1"/>
        <v>5.6256062075654707E-2</v>
      </c>
      <c r="N24" s="4">
        <v>282.20999999999998</v>
      </c>
      <c r="O24" s="4">
        <v>0.29093766999999998</v>
      </c>
      <c r="P24" s="4">
        <v>0.69</v>
      </c>
      <c r="Q24" t="s">
        <v>30</v>
      </c>
      <c r="R24" t="s">
        <v>32</v>
      </c>
    </row>
    <row r="25" spans="1:18" ht="15.75" customHeight="1" x14ac:dyDescent="0.25">
      <c r="A25" s="2" t="s">
        <v>42</v>
      </c>
      <c r="B25" s="2" t="s">
        <v>43</v>
      </c>
      <c r="C25" s="2" t="s">
        <v>24</v>
      </c>
      <c r="D25" s="2" t="s">
        <v>18</v>
      </c>
      <c r="E25" s="2" t="s">
        <v>44</v>
      </c>
      <c r="F25" s="2">
        <v>2386</v>
      </c>
      <c r="G25" s="2">
        <v>2782</v>
      </c>
      <c r="H25" s="2">
        <v>1.1659681479999999</v>
      </c>
      <c r="I25" s="2">
        <v>304</v>
      </c>
      <c r="J25" s="2">
        <v>230</v>
      </c>
      <c r="K25" s="2">
        <v>117</v>
      </c>
      <c r="L25" s="3">
        <f t="shared" si="0"/>
        <v>0.10927390366642703</v>
      </c>
      <c r="M25" s="3">
        <f t="shared" si="1"/>
        <v>8.2674335010783612E-2</v>
      </c>
      <c r="N25" s="4">
        <v>117.9</v>
      </c>
      <c r="O25" s="4">
        <v>0.38782084999999999</v>
      </c>
      <c r="P25" s="4">
        <v>1.01</v>
      </c>
      <c r="Q25" t="s">
        <v>33</v>
      </c>
      <c r="R25" t="s">
        <v>35</v>
      </c>
    </row>
    <row r="26" spans="1:18" ht="15.75" customHeight="1" x14ac:dyDescent="0.25">
      <c r="A26" s="2" t="s">
        <v>45</v>
      </c>
      <c r="B26" s="2" t="s">
        <v>46</v>
      </c>
      <c r="C26" s="2" t="s">
        <v>24</v>
      </c>
      <c r="D26" s="2" t="s">
        <v>18</v>
      </c>
      <c r="E26" s="2" t="s">
        <v>47</v>
      </c>
      <c r="F26" s="2">
        <v>2892</v>
      </c>
      <c r="G26" s="2">
        <v>3347</v>
      </c>
      <c r="H26" s="2">
        <v>1.157330567</v>
      </c>
      <c r="I26" s="2">
        <v>135</v>
      </c>
      <c r="J26" s="2">
        <v>102</v>
      </c>
      <c r="K26" s="2">
        <v>41</v>
      </c>
      <c r="L26" s="3">
        <f t="shared" si="0"/>
        <v>4.0334628025097102E-2</v>
      </c>
      <c r="M26" s="3">
        <f t="shared" si="1"/>
        <v>3.0475052285628922E-2</v>
      </c>
      <c r="N26" s="4">
        <v>455.49</v>
      </c>
      <c r="O26" s="4">
        <v>3.3739992999999999</v>
      </c>
      <c r="P26" s="4">
        <v>11.11</v>
      </c>
      <c r="Q26" t="s">
        <v>33</v>
      </c>
      <c r="R26" t="s">
        <v>35</v>
      </c>
    </row>
    <row r="27" spans="1:18" ht="15.75" customHeight="1" x14ac:dyDescent="0.25">
      <c r="A27" s="2" t="s">
        <v>45</v>
      </c>
      <c r="B27" s="2" t="s">
        <v>46</v>
      </c>
      <c r="C27" s="2" t="s">
        <v>24</v>
      </c>
      <c r="D27" s="2" t="s">
        <v>25</v>
      </c>
      <c r="E27" s="2" t="s">
        <v>47</v>
      </c>
      <c r="F27" s="2">
        <v>2862</v>
      </c>
      <c r="G27" s="2">
        <v>3234</v>
      </c>
      <c r="H27" s="2">
        <v>1.1299790359999999</v>
      </c>
      <c r="I27" s="2">
        <v>72</v>
      </c>
      <c r="J27" s="2">
        <v>60</v>
      </c>
      <c r="K27" s="2">
        <v>27</v>
      </c>
      <c r="L27" s="3">
        <f t="shared" si="0"/>
        <v>2.2263450834879406E-2</v>
      </c>
      <c r="M27" s="3">
        <f t="shared" si="1"/>
        <v>1.8552875695732839E-2</v>
      </c>
      <c r="N27" s="4">
        <v>316.14</v>
      </c>
      <c r="O27" s="4">
        <v>4.3908387800000002</v>
      </c>
      <c r="P27" s="4">
        <v>11.71</v>
      </c>
      <c r="Q27" t="s">
        <v>33</v>
      </c>
      <c r="R27" t="s">
        <v>35</v>
      </c>
    </row>
    <row r="28" spans="1:18" ht="15.75" customHeight="1" x14ac:dyDescent="0.25">
      <c r="A28" s="2" t="s">
        <v>45</v>
      </c>
      <c r="B28" s="2" t="s">
        <v>46</v>
      </c>
      <c r="C28" s="2" t="s">
        <v>24</v>
      </c>
      <c r="D28" s="2" t="s">
        <v>26</v>
      </c>
      <c r="E28" s="2" t="s">
        <v>47</v>
      </c>
      <c r="F28" s="2">
        <v>1579</v>
      </c>
      <c r="G28" s="2">
        <v>2079</v>
      </c>
      <c r="H28" s="2">
        <v>1.3166561109999999</v>
      </c>
      <c r="I28" s="2">
        <v>35</v>
      </c>
      <c r="J28" s="2">
        <v>32</v>
      </c>
      <c r="K28" s="2">
        <v>20</v>
      </c>
      <c r="L28" s="3">
        <f t="shared" si="0"/>
        <v>1.6835016835016835E-2</v>
      </c>
      <c r="M28" s="3">
        <f t="shared" si="1"/>
        <v>1.5392015392015393E-2</v>
      </c>
      <c r="N28" s="4">
        <v>104.63</v>
      </c>
      <c r="O28" s="4">
        <v>2.98942007</v>
      </c>
      <c r="P28" s="4">
        <v>5.23</v>
      </c>
      <c r="Q28" t="s">
        <v>36</v>
      </c>
      <c r="R28" t="s">
        <v>38</v>
      </c>
    </row>
    <row r="29" spans="1:18" ht="15.75" customHeight="1" x14ac:dyDescent="0.25">
      <c r="A29" s="2" t="s">
        <v>48</v>
      </c>
      <c r="B29" s="2" t="s">
        <v>49</v>
      </c>
      <c r="C29" s="2" t="s">
        <v>24</v>
      </c>
      <c r="D29" s="2" t="s">
        <v>26</v>
      </c>
      <c r="E29" s="2" t="s">
        <v>50</v>
      </c>
      <c r="F29" s="2">
        <v>2557</v>
      </c>
      <c r="G29" s="2">
        <v>2941</v>
      </c>
      <c r="H29" s="2">
        <v>1.1501759869999999</v>
      </c>
      <c r="I29" s="2">
        <v>69</v>
      </c>
      <c r="J29" s="2">
        <v>60</v>
      </c>
      <c r="K29" s="2">
        <v>33</v>
      </c>
      <c r="L29" s="3">
        <f t="shared" si="0"/>
        <v>2.3461407684461068E-2</v>
      </c>
      <c r="M29" s="3">
        <f t="shared" si="1"/>
        <v>2.0401224073444406E-2</v>
      </c>
      <c r="N29" s="4">
        <v>487.52</v>
      </c>
      <c r="O29" s="4">
        <v>7.0655072499999996</v>
      </c>
      <c r="P29" s="4">
        <v>14.77</v>
      </c>
      <c r="Q29" t="s">
        <v>36</v>
      </c>
      <c r="R29" t="s">
        <v>38</v>
      </c>
    </row>
    <row r="30" spans="1:18" ht="15.75" customHeight="1" x14ac:dyDescent="0.25">
      <c r="A30" s="2" t="s">
        <v>48</v>
      </c>
      <c r="B30" s="2" t="s">
        <v>49</v>
      </c>
      <c r="C30" s="2" t="s">
        <v>24</v>
      </c>
      <c r="D30" s="2" t="s">
        <v>25</v>
      </c>
      <c r="E30" s="2" t="s">
        <v>50</v>
      </c>
      <c r="F30" s="2">
        <v>741</v>
      </c>
      <c r="G30" s="2">
        <v>785</v>
      </c>
      <c r="H30" s="2">
        <v>1.059379217</v>
      </c>
      <c r="I30" s="2">
        <v>39</v>
      </c>
      <c r="J30" s="2">
        <v>34</v>
      </c>
      <c r="K30" s="2">
        <v>20</v>
      </c>
      <c r="L30" s="3">
        <f t="shared" si="0"/>
        <v>4.9681528662420385E-2</v>
      </c>
      <c r="M30" s="3">
        <f t="shared" si="1"/>
        <v>4.3312101910828023E-2</v>
      </c>
      <c r="N30" s="4">
        <v>255.57</v>
      </c>
      <c r="O30" s="4">
        <v>6.5530769199999996</v>
      </c>
      <c r="P30" s="4">
        <v>12.78</v>
      </c>
      <c r="Q30" t="s">
        <v>39</v>
      </c>
      <c r="R30" t="s">
        <v>41</v>
      </c>
    </row>
    <row r="31" spans="1:18" ht="15.75" customHeight="1" x14ac:dyDescent="0.25">
      <c r="A31" s="2" t="s">
        <v>48</v>
      </c>
      <c r="B31" s="2" t="s">
        <v>49</v>
      </c>
      <c r="C31" s="2" t="s">
        <v>24</v>
      </c>
      <c r="D31" s="2" t="s">
        <v>18</v>
      </c>
      <c r="E31" s="2" t="s">
        <v>50</v>
      </c>
      <c r="F31" s="2">
        <v>338</v>
      </c>
      <c r="G31" s="2">
        <v>365</v>
      </c>
      <c r="H31" s="2">
        <v>1.0798816570000001</v>
      </c>
      <c r="I31" s="2">
        <v>13</v>
      </c>
      <c r="J31" s="2">
        <v>11</v>
      </c>
      <c r="K31" s="2">
        <v>4</v>
      </c>
      <c r="L31" s="3">
        <f t="shared" si="0"/>
        <v>3.5616438356164383E-2</v>
      </c>
      <c r="M31" s="3">
        <f t="shared" si="1"/>
        <v>3.0136986301369864E-2</v>
      </c>
      <c r="N31" s="4">
        <v>113.58</v>
      </c>
      <c r="O31" s="4">
        <v>8.7369230800000004</v>
      </c>
      <c r="P31" s="4">
        <v>28.4</v>
      </c>
      <c r="Q31" t="s">
        <v>39</v>
      </c>
      <c r="R31" t="s">
        <v>41</v>
      </c>
    </row>
    <row r="32" spans="1:18" ht="15.75" customHeight="1" x14ac:dyDescent="0.25">
      <c r="A32" s="2" t="s">
        <v>51</v>
      </c>
      <c r="B32" s="2" t="s">
        <v>52</v>
      </c>
      <c r="C32" s="2" t="s">
        <v>24</v>
      </c>
      <c r="D32" s="2" t="s">
        <v>26</v>
      </c>
      <c r="E32" s="2" t="s">
        <v>53</v>
      </c>
      <c r="F32" s="2">
        <v>2159</v>
      </c>
      <c r="G32" s="2">
        <v>2465</v>
      </c>
      <c r="H32" s="2">
        <v>1.1417322830000001</v>
      </c>
      <c r="I32" s="2">
        <v>126</v>
      </c>
      <c r="J32" s="2">
        <v>111</v>
      </c>
      <c r="K32" s="2">
        <v>95</v>
      </c>
      <c r="L32" s="3">
        <f t="shared" si="0"/>
        <v>5.1115618661257606E-2</v>
      </c>
      <c r="M32" s="3">
        <f t="shared" si="1"/>
        <v>4.5030425963488843E-2</v>
      </c>
      <c r="N32" s="4">
        <v>691.28</v>
      </c>
      <c r="O32" s="4">
        <v>5.4863581899999998</v>
      </c>
      <c r="P32" s="4">
        <v>7.28</v>
      </c>
      <c r="Q32" t="s">
        <v>39</v>
      </c>
      <c r="R32" t="s">
        <v>41</v>
      </c>
    </row>
    <row r="33" spans="1:18" ht="15.75" customHeight="1" x14ac:dyDescent="0.25">
      <c r="A33" s="2" t="s">
        <v>51</v>
      </c>
      <c r="B33" s="2" t="s">
        <v>52</v>
      </c>
      <c r="C33" s="2" t="s">
        <v>24</v>
      </c>
      <c r="D33" s="2" t="s">
        <v>25</v>
      </c>
      <c r="E33" s="2" t="s">
        <v>53</v>
      </c>
      <c r="F33" s="2">
        <v>305</v>
      </c>
      <c r="G33" s="2">
        <v>332</v>
      </c>
      <c r="H33" s="2">
        <v>1.08852459</v>
      </c>
      <c r="I33" s="2">
        <v>43</v>
      </c>
      <c r="J33" s="2">
        <v>37</v>
      </c>
      <c r="K33" s="2">
        <v>28</v>
      </c>
      <c r="L33" s="3">
        <f t="shared" si="0"/>
        <v>0.12951807228915663</v>
      </c>
      <c r="M33" s="3">
        <f t="shared" si="1"/>
        <v>0.11144578313253012</v>
      </c>
      <c r="N33" s="4">
        <v>159.13999999999999</v>
      </c>
      <c r="O33" s="4">
        <v>3.7008425200000001</v>
      </c>
      <c r="P33" s="4">
        <v>5.68</v>
      </c>
      <c r="Q33" t="s">
        <v>42</v>
      </c>
      <c r="R33" t="s">
        <v>44</v>
      </c>
    </row>
    <row r="34" spans="1:18" ht="15.75" customHeight="1" x14ac:dyDescent="0.25">
      <c r="A34" s="2" t="s">
        <v>51</v>
      </c>
      <c r="B34" s="2" t="s">
        <v>52</v>
      </c>
      <c r="C34" s="2" t="s">
        <v>24</v>
      </c>
      <c r="D34" s="2" t="s">
        <v>18</v>
      </c>
      <c r="E34" s="2" t="s">
        <v>53</v>
      </c>
      <c r="F34" s="2">
        <v>91</v>
      </c>
      <c r="G34" s="2">
        <v>103</v>
      </c>
      <c r="H34" s="2">
        <v>1.1318681319999999</v>
      </c>
      <c r="I34" s="2">
        <v>9</v>
      </c>
      <c r="J34" s="2">
        <v>8</v>
      </c>
      <c r="K34" s="2">
        <v>3</v>
      </c>
      <c r="L34" s="3">
        <f t="shared" si="0"/>
        <v>8.7378640776699032E-2</v>
      </c>
      <c r="M34" s="3">
        <f t="shared" si="1"/>
        <v>7.7669902912621352E-2</v>
      </c>
      <c r="N34" s="4">
        <v>47.26</v>
      </c>
      <c r="O34" s="4">
        <v>5.2514043800000003</v>
      </c>
      <c r="P34" s="4">
        <v>15.75</v>
      </c>
      <c r="Q34" t="s">
        <v>42</v>
      </c>
      <c r="R34" t="s">
        <v>44</v>
      </c>
    </row>
    <row r="35" spans="1:18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t="s">
        <v>42</v>
      </c>
      <c r="R35" t="s">
        <v>44</v>
      </c>
    </row>
    <row r="36" spans="1:18" ht="15.75" customHeight="1" x14ac:dyDescent="0.25">
      <c r="Q36" t="s">
        <v>45</v>
      </c>
      <c r="R36" t="s">
        <v>47</v>
      </c>
    </row>
    <row r="37" spans="1:18" ht="15.75" customHeight="1" x14ac:dyDescent="0.25">
      <c r="Q37" t="s">
        <v>45</v>
      </c>
      <c r="R37" t="s">
        <v>47</v>
      </c>
    </row>
    <row r="38" spans="1:18" ht="15.75" customHeight="1" x14ac:dyDescent="0.25">
      <c r="Q38" t="s">
        <v>45</v>
      </c>
      <c r="R38" t="s">
        <v>47</v>
      </c>
    </row>
    <row r="39" spans="1:18" ht="15.75" customHeight="1" x14ac:dyDescent="0.25">
      <c r="Q39" t="s">
        <v>48</v>
      </c>
      <c r="R39" t="s">
        <v>50</v>
      </c>
    </row>
    <row r="40" spans="1:18" ht="15.75" customHeight="1" x14ac:dyDescent="0.25">
      <c r="Q40" t="s">
        <v>48</v>
      </c>
      <c r="R40" t="s">
        <v>50</v>
      </c>
    </row>
    <row r="41" spans="1:18" ht="15.75" customHeight="1" x14ac:dyDescent="0.25">
      <c r="Q41" t="s">
        <v>48</v>
      </c>
      <c r="R41" t="s">
        <v>50</v>
      </c>
    </row>
    <row r="42" spans="1:18" ht="15.75" customHeight="1" x14ac:dyDescent="0.25">
      <c r="Q42" t="s">
        <v>51</v>
      </c>
      <c r="R42" t="s">
        <v>53</v>
      </c>
    </row>
    <row r="43" spans="1:18" ht="15.75" customHeight="1" x14ac:dyDescent="0.25">
      <c r="Q43" t="s">
        <v>51</v>
      </c>
      <c r="R43" t="s">
        <v>53</v>
      </c>
    </row>
    <row r="44" spans="1:18" ht="15.75" customHeight="1" x14ac:dyDescent="0.25">
      <c r="Q44" t="s">
        <v>51</v>
      </c>
      <c r="R4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1E2F-3270-4498-8F95-56E3B57D62BC}">
  <dimension ref="A1:L13"/>
  <sheetViews>
    <sheetView tabSelected="1" workbookViewId="0">
      <selection activeCell="B16" sqref="B16"/>
    </sheetView>
  </sheetViews>
  <sheetFormatPr defaultRowHeight="13.2" x14ac:dyDescent="0.25"/>
  <cols>
    <col min="1" max="1" width="13.88671875" bestFit="1" customWidth="1"/>
    <col min="2" max="2" width="11.33203125" bestFit="1" customWidth="1"/>
    <col min="3" max="3" width="16.5546875" bestFit="1" customWidth="1"/>
    <col min="4" max="4" width="15.21875" bestFit="1" customWidth="1"/>
    <col min="5" max="5" width="11.109375" bestFit="1" customWidth="1"/>
    <col min="6" max="6" width="18" bestFit="1" customWidth="1"/>
    <col min="7" max="7" width="28.109375" bestFit="1" customWidth="1"/>
    <col min="8" max="8" width="28.88671875" bestFit="1" customWidth="1"/>
    <col min="9" max="9" width="17.88671875" bestFit="1" customWidth="1"/>
    <col min="10" max="10" width="25.21875" bestFit="1" customWidth="1"/>
    <col min="11" max="11" width="24.44140625" bestFit="1" customWidth="1"/>
    <col min="12" max="12" width="25.77734375" bestFit="1" customWidth="1"/>
  </cols>
  <sheetData>
    <row r="1" spans="1:12" x14ac:dyDescent="0.25">
      <c r="A1" s="10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</row>
    <row r="2" spans="1:12" x14ac:dyDescent="0.25">
      <c r="A2" t="s">
        <v>15</v>
      </c>
      <c r="B2" s="11">
        <v>23904</v>
      </c>
      <c r="C2" s="11">
        <v>47139</v>
      </c>
      <c r="D2" s="11">
        <v>8.1522661660000004</v>
      </c>
      <c r="E2" s="11">
        <v>1218</v>
      </c>
      <c r="F2" s="11">
        <v>967</v>
      </c>
      <c r="G2" s="11">
        <v>420</v>
      </c>
      <c r="H2" s="12">
        <v>0.10921752495572441</v>
      </c>
      <c r="I2" s="12">
        <v>8.5654788755658601E-2</v>
      </c>
      <c r="J2" s="13">
        <v>2333.33</v>
      </c>
      <c r="K2" s="13">
        <v>7.3421097900000003</v>
      </c>
      <c r="L2" s="13">
        <v>20.52</v>
      </c>
    </row>
    <row r="3" spans="1:12" x14ac:dyDescent="0.25">
      <c r="A3" t="s">
        <v>48</v>
      </c>
      <c r="B3" s="11">
        <v>3636</v>
      </c>
      <c r="C3" s="11">
        <v>4091</v>
      </c>
      <c r="D3" s="11">
        <v>3.289436861</v>
      </c>
      <c r="E3" s="11">
        <v>121</v>
      </c>
      <c r="F3" s="11">
        <v>105</v>
      </c>
      <c r="G3" s="11">
        <v>57</v>
      </c>
      <c r="H3" s="12">
        <v>0.10875937470304584</v>
      </c>
      <c r="I3" s="12">
        <v>9.3850312285642293E-2</v>
      </c>
      <c r="J3" s="13">
        <v>856.67</v>
      </c>
      <c r="K3" s="13">
        <v>22.355507249999999</v>
      </c>
      <c r="L3" s="13">
        <v>55.949999999999996</v>
      </c>
    </row>
    <row r="4" spans="1:12" x14ac:dyDescent="0.25">
      <c r="A4" t="s">
        <v>51</v>
      </c>
      <c r="B4" s="11">
        <v>2555</v>
      </c>
      <c r="C4" s="11">
        <v>2900</v>
      </c>
      <c r="D4" s="11">
        <v>3.3621250050000002</v>
      </c>
      <c r="E4" s="11">
        <v>178</v>
      </c>
      <c r="F4" s="11">
        <v>156</v>
      </c>
      <c r="G4" s="11">
        <v>126</v>
      </c>
      <c r="H4" s="12">
        <v>0.26801233172711325</v>
      </c>
      <c r="I4" s="12">
        <v>0.2341461120086403</v>
      </c>
      <c r="J4" s="13">
        <v>897.68</v>
      </c>
      <c r="K4" s="13">
        <v>14.438605089999999</v>
      </c>
      <c r="L4" s="13">
        <v>28.71</v>
      </c>
    </row>
    <row r="5" spans="1:12" x14ac:dyDescent="0.25">
      <c r="A5" t="s">
        <v>22</v>
      </c>
      <c r="B5" s="11">
        <v>46494</v>
      </c>
      <c r="C5" s="11">
        <v>67313</v>
      </c>
      <c r="D5" s="11">
        <v>4.2464348300000001</v>
      </c>
      <c r="E5" s="11">
        <v>3743</v>
      </c>
      <c r="F5" s="11">
        <v>2833</v>
      </c>
      <c r="G5" s="11">
        <v>1595</v>
      </c>
      <c r="H5" s="12">
        <v>0.17787890554636454</v>
      </c>
      <c r="I5" s="12">
        <v>0.13569383274584454</v>
      </c>
      <c r="J5" s="13">
        <v>1579.02</v>
      </c>
      <c r="K5" s="13">
        <v>1.24230873</v>
      </c>
      <c r="L5" s="13">
        <v>3.1</v>
      </c>
    </row>
    <row r="6" spans="1:12" x14ac:dyDescent="0.25">
      <c r="A6" t="s">
        <v>27</v>
      </c>
      <c r="B6" s="11">
        <v>3187</v>
      </c>
      <c r="C6" s="11">
        <v>3572</v>
      </c>
      <c r="D6" s="11">
        <v>3.2416989029999996</v>
      </c>
      <c r="E6" s="11">
        <v>119</v>
      </c>
      <c r="F6" s="11">
        <v>109</v>
      </c>
      <c r="G6" s="11">
        <v>44</v>
      </c>
      <c r="H6" s="12">
        <v>0.1306160765420071</v>
      </c>
      <c r="I6" s="12">
        <v>0.11973080059536076</v>
      </c>
      <c r="J6" s="13">
        <v>850.68</v>
      </c>
      <c r="K6" s="13">
        <v>23.7644527</v>
      </c>
      <c r="L6" s="13">
        <v>69.319999999999993</v>
      </c>
    </row>
    <row r="7" spans="1:12" x14ac:dyDescent="0.25">
      <c r="A7" t="s">
        <v>30</v>
      </c>
      <c r="B7" s="11">
        <v>3307</v>
      </c>
      <c r="C7" s="11">
        <v>4267</v>
      </c>
      <c r="D7" s="11">
        <v>3.6216787349999997</v>
      </c>
      <c r="E7" s="11">
        <v>171</v>
      </c>
      <c r="F7" s="11">
        <v>146</v>
      </c>
      <c r="G7" s="11">
        <v>112</v>
      </c>
      <c r="H7" s="12">
        <v>0.16540384597953453</v>
      </c>
      <c r="I7" s="12">
        <v>0.15088854144559261</v>
      </c>
      <c r="J7" s="13">
        <v>923.96</v>
      </c>
      <c r="K7" s="13">
        <v>16.512725230000001</v>
      </c>
      <c r="L7" s="13">
        <v>23.79</v>
      </c>
    </row>
    <row r="8" spans="1:12" x14ac:dyDescent="0.25">
      <c r="A8" t="s">
        <v>33</v>
      </c>
      <c r="B8" s="11">
        <v>15024</v>
      </c>
      <c r="C8" s="11">
        <v>20483</v>
      </c>
      <c r="D8" s="11">
        <v>4.0751694689999995</v>
      </c>
      <c r="E8" s="11">
        <v>648</v>
      </c>
      <c r="F8" s="11">
        <v>552</v>
      </c>
      <c r="G8" s="11">
        <v>237</v>
      </c>
      <c r="H8" s="12">
        <v>0.10091072016184188</v>
      </c>
      <c r="I8" s="12">
        <v>8.6175738682118294E-2</v>
      </c>
      <c r="J8" s="13">
        <v>837.78000000000009</v>
      </c>
      <c r="K8" s="13">
        <v>3.8510243500000003</v>
      </c>
      <c r="L8" s="13">
        <v>11.91</v>
      </c>
    </row>
    <row r="9" spans="1:12" x14ac:dyDescent="0.25">
      <c r="A9" t="s">
        <v>36</v>
      </c>
      <c r="B9" s="11">
        <v>31831</v>
      </c>
      <c r="C9" s="11">
        <v>37246</v>
      </c>
      <c r="D9" s="11">
        <v>2.263661017</v>
      </c>
      <c r="E9" s="11">
        <v>1400</v>
      </c>
      <c r="F9" s="11">
        <v>1238</v>
      </c>
      <c r="G9" s="11">
        <v>987</v>
      </c>
      <c r="H9" s="12">
        <v>8.6071250514881265E-2</v>
      </c>
      <c r="I9" s="12">
        <v>7.3405805121018367E-2</v>
      </c>
      <c r="J9" s="13">
        <v>955.21</v>
      </c>
      <c r="K9" s="13">
        <v>1.3488614299999999</v>
      </c>
      <c r="L9" s="13">
        <v>2.11</v>
      </c>
    </row>
    <row r="10" spans="1:12" x14ac:dyDescent="0.25">
      <c r="A10" t="s">
        <v>39</v>
      </c>
      <c r="B10" s="11">
        <v>29668</v>
      </c>
      <c r="C10" s="11">
        <v>65215</v>
      </c>
      <c r="D10" s="11">
        <v>7.0732353830000001</v>
      </c>
      <c r="E10" s="11">
        <v>1420</v>
      </c>
      <c r="F10" s="11">
        <v>1146</v>
      </c>
      <c r="G10" s="11">
        <v>518</v>
      </c>
      <c r="H10" s="12">
        <v>6.6934851244004667E-2</v>
      </c>
      <c r="I10" s="12">
        <v>5.474266409391737E-2</v>
      </c>
      <c r="J10" s="13">
        <v>1035.24</v>
      </c>
      <c r="K10" s="13">
        <v>2.1667277899999999</v>
      </c>
      <c r="L10" s="13">
        <v>5.99</v>
      </c>
    </row>
    <row r="11" spans="1:12" x14ac:dyDescent="0.25">
      <c r="A11" t="s">
        <v>42</v>
      </c>
      <c r="B11" s="11">
        <v>21929</v>
      </c>
      <c r="C11" s="11">
        <v>28974</v>
      </c>
      <c r="D11" s="11">
        <v>3.8720502730000002</v>
      </c>
      <c r="E11" s="11">
        <v>2765</v>
      </c>
      <c r="F11" s="11">
        <v>2058</v>
      </c>
      <c r="G11" s="11">
        <v>1073</v>
      </c>
      <c r="H11" s="12">
        <v>0.29556386891637521</v>
      </c>
      <c r="I11" s="12">
        <v>0.22084067205025887</v>
      </c>
      <c r="J11" s="13">
        <v>942.77999999999986</v>
      </c>
      <c r="K11" s="13">
        <v>1.0427242699999999</v>
      </c>
      <c r="L11" s="13">
        <v>2.69</v>
      </c>
    </row>
    <row r="12" spans="1:12" x14ac:dyDescent="0.25">
      <c r="A12" t="s">
        <v>45</v>
      </c>
      <c r="B12" s="11">
        <v>7333</v>
      </c>
      <c r="C12" s="11">
        <v>8660</v>
      </c>
      <c r="D12" s="11">
        <v>3.6039657139999997</v>
      </c>
      <c r="E12" s="11">
        <v>242</v>
      </c>
      <c r="F12" s="11">
        <v>194</v>
      </c>
      <c r="G12" s="11">
        <v>88</v>
      </c>
      <c r="H12" s="12">
        <v>7.943309569499335E-2</v>
      </c>
      <c r="I12" s="12">
        <v>6.4419943373377156E-2</v>
      </c>
      <c r="J12" s="13">
        <v>876.26</v>
      </c>
      <c r="K12" s="13">
        <v>10.75425815</v>
      </c>
      <c r="L12" s="13">
        <v>28.05</v>
      </c>
    </row>
    <row r="13" spans="1:12" x14ac:dyDescent="0.25">
      <c r="A13" t="s">
        <v>61</v>
      </c>
      <c r="B13" s="11">
        <v>188868</v>
      </c>
      <c r="C13" s="11">
        <v>289860</v>
      </c>
      <c r="D13" s="11">
        <v>46.801722355999999</v>
      </c>
      <c r="E13" s="11">
        <v>12025</v>
      </c>
      <c r="F13" s="11">
        <v>9504</v>
      </c>
      <c r="G13" s="11">
        <v>5257</v>
      </c>
      <c r="H13" s="12">
        <v>1.5888018459858861</v>
      </c>
      <c r="I13" s="12">
        <v>1.3195492111574292</v>
      </c>
      <c r="J13" s="13">
        <v>12088.610000000002</v>
      </c>
      <c r="K13" s="13">
        <v>104.81930477999998</v>
      </c>
      <c r="L13" s="13">
        <v>252.14000000000001</v>
      </c>
    </row>
  </sheetData>
  <sortState xmlns:xlrd2="http://schemas.microsoft.com/office/spreadsheetml/2017/richdata2" ref="A1:L13">
    <sortCondition ref="A1" customList="Mon,Tue,Wed,Thu,Fri,Sat,Sun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F5EB-27B8-4BCE-83B0-49DB1FF2D8D3}">
  <dimension ref="A1:D58"/>
  <sheetViews>
    <sheetView topLeftCell="A24" workbookViewId="0">
      <selection sqref="A1:B44"/>
    </sheetView>
  </sheetViews>
  <sheetFormatPr defaultRowHeight="13.2" x14ac:dyDescent="0.25"/>
  <cols>
    <col min="1" max="1" width="12.109375" bestFit="1" customWidth="1"/>
    <col min="2" max="2" width="10.33203125" bestFit="1" customWidth="1"/>
    <col min="3" max="3" width="14.88671875" bestFit="1" customWidth="1"/>
    <col min="4" max="4" width="14.33203125" bestFit="1" customWidth="1"/>
  </cols>
  <sheetData>
    <row r="1" spans="1:4" x14ac:dyDescent="0.25">
      <c r="A1" s="9" t="s">
        <v>0</v>
      </c>
      <c r="B1" s="6" t="s">
        <v>4</v>
      </c>
    </row>
    <row r="2" spans="1:4" x14ac:dyDescent="0.25">
      <c r="A2" s="2" t="s">
        <v>15</v>
      </c>
      <c r="B2" t="s">
        <v>29</v>
      </c>
    </row>
    <row r="3" spans="1:4" x14ac:dyDescent="0.25">
      <c r="A3" t="s">
        <v>15</v>
      </c>
      <c r="B3" t="s">
        <v>32</v>
      </c>
    </row>
    <row r="4" spans="1:4" x14ac:dyDescent="0.25">
      <c r="A4" t="s">
        <v>15</v>
      </c>
      <c r="B4" t="s">
        <v>50</v>
      </c>
    </row>
    <row r="5" spans="1:4" x14ac:dyDescent="0.25">
      <c r="A5" t="s">
        <v>15</v>
      </c>
      <c r="B5" t="s">
        <v>35</v>
      </c>
    </row>
    <row r="6" spans="1:4" x14ac:dyDescent="0.25">
      <c r="A6" t="s">
        <v>15</v>
      </c>
      <c r="B6" t="s">
        <v>44</v>
      </c>
    </row>
    <row r="7" spans="1:4" x14ac:dyDescent="0.25">
      <c r="A7" t="s">
        <v>15</v>
      </c>
      <c r="B7" t="s">
        <v>57</v>
      </c>
    </row>
    <row r="8" spans="1:4" x14ac:dyDescent="0.25">
      <c r="A8" t="s">
        <v>15</v>
      </c>
      <c r="B8" t="s">
        <v>53</v>
      </c>
    </row>
    <row r="9" spans="1:4" x14ac:dyDescent="0.25">
      <c r="A9" t="s">
        <v>22</v>
      </c>
      <c r="B9" t="s">
        <v>29</v>
      </c>
    </row>
    <row r="10" spans="1:4" x14ac:dyDescent="0.25">
      <c r="A10" t="s">
        <v>22</v>
      </c>
      <c r="B10" t="s">
        <v>32</v>
      </c>
    </row>
    <row r="11" spans="1:4" x14ac:dyDescent="0.25">
      <c r="A11" t="s">
        <v>22</v>
      </c>
      <c r="B11" t="s">
        <v>50</v>
      </c>
    </row>
    <row r="12" spans="1:4" x14ac:dyDescent="0.25">
      <c r="A12" t="s">
        <v>22</v>
      </c>
      <c r="B12" t="s">
        <v>35</v>
      </c>
    </row>
    <row r="13" spans="1:4" x14ac:dyDescent="0.25">
      <c r="A13" t="s">
        <v>22</v>
      </c>
      <c r="B13" t="s">
        <v>56</v>
      </c>
    </row>
    <row r="14" spans="1:4" x14ac:dyDescent="0.25">
      <c r="A14" t="s">
        <v>22</v>
      </c>
      <c r="B14" t="s">
        <v>44</v>
      </c>
    </row>
    <row r="15" spans="1:4" x14ac:dyDescent="0.25">
      <c r="A15" t="s">
        <v>22</v>
      </c>
      <c r="B15" t="s">
        <v>41</v>
      </c>
      <c r="C15" s="1"/>
      <c r="D15" s="6"/>
    </row>
    <row r="16" spans="1:4" x14ac:dyDescent="0.25">
      <c r="A16" t="s">
        <v>22</v>
      </c>
      <c r="B16" t="s">
        <v>57</v>
      </c>
      <c r="C16" s="2"/>
    </row>
    <row r="17" spans="1:3" x14ac:dyDescent="0.25">
      <c r="A17" t="s">
        <v>22</v>
      </c>
      <c r="B17" t="s">
        <v>58</v>
      </c>
      <c r="C17" s="2"/>
    </row>
    <row r="18" spans="1:3" x14ac:dyDescent="0.25">
      <c r="A18" t="s">
        <v>22</v>
      </c>
      <c r="B18" t="s">
        <v>59</v>
      </c>
      <c r="C18" s="2"/>
    </row>
    <row r="19" spans="1:3" x14ac:dyDescent="0.25">
      <c r="A19" t="s">
        <v>27</v>
      </c>
      <c r="B19" t="s">
        <v>29</v>
      </c>
      <c r="C19" s="2"/>
    </row>
    <row r="20" spans="1:3" x14ac:dyDescent="0.25">
      <c r="A20" t="s">
        <v>27</v>
      </c>
      <c r="B20" t="s">
        <v>29</v>
      </c>
      <c r="C20" s="2"/>
    </row>
    <row r="21" spans="1:3" x14ac:dyDescent="0.25">
      <c r="A21" t="s">
        <v>27</v>
      </c>
      <c r="B21" t="s">
        <v>29</v>
      </c>
      <c r="C21" s="2"/>
    </row>
    <row r="22" spans="1:3" x14ac:dyDescent="0.25">
      <c r="A22" t="s">
        <v>30</v>
      </c>
      <c r="B22" t="s">
        <v>32</v>
      </c>
      <c r="C22" s="2"/>
    </row>
    <row r="23" spans="1:3" x14ac:dyDescent="0.25">
      <c r="A23" t="s">
        <v>30</v>
      </c>
      <c r="B23" t="s">
        <v>32</v>
      </c>
      <c r="C23" s="7"/>
    </row>
    <row r="24" spans="1:3" x14ac:dyDescent="0.25">
      <c r="A24" t="s">
        <v>30</v>
      </c>
      <c r="B24" t="s">
        <v>32</v>
      </c>
      <c r="C24" s="7"/>
    </row>
    <row r="25" spans="1:3" x14ac:dyDescent="0.25">
      <c r="A25" t="s">
        <v>33</v>
      </c>
      <c r="B25" t="s">
        <v>35</v>
      </c>
      <c r="C25" s="7"/>
    </row>
    <row r="26" spans="1:3" x14ac:dyDescent="0.25">
      <c r="A26" t="s">
        <v>33</v>
      </c>
      <c r="B26" t="s">
        <v>35</v>
      </c>
      <c r="C26" s="7"/>
    </row>
    <row r="27" spans="1:3" x14ac:dyDescent="0.25">
      <c r="A27" t="s">
        <v>33</v>
      </c>
      <c r="B27" t="s">
        <v>35</v>
      </c>
      <c r="C27" s="7"/>
    </row>
    <row r="28" spans="1:3" x14ac:dyDescent="0.25">
      <c r="A28" t="s">
        <v>36</v>
      </c>
      <c r="B28" t="s">
        <v>38</v>
      </c>
      <c r="C28" s="7"/>
    </row>
    <row r="29" spans="1:3" x14ac:dyDescent="0.25">
      <c r="A29" t="s">
        <v>36</v>
      </c>
      <c r="B29" t="s">
        <v>38</v>
      </c>
      <c r="C29" s="7"/>
    </row>
    <row r="30" spans="1:3" x14ac:dyDescent="0.25">
      <c r="A30" t="s">
        <v>39</v>
      </c>
      <c r="B30" t="s">
        <v>41</v>
      </c>
      <c r="C30" s="7"/>
    </row>
    <row r="31" spans="1:3" x14ac:dyDescent="0.25">
      <c r="A31" t="s">
        <v>39</v>
      </c>
      <c r="B31" t="s">
        <v>41</v>
      </c>
      <c r="C31" s="7"/>
    </row>
    <row r="32" spans="1:3" x14ac:dyDescent="0.25">
      <c r="A32" t="s">
        <v>39</v>
      </c>
      <c r="B32" t="s">
        <v>41</v>
      </c>
      <c r="C32" s="7"/>
    </row>
    <row r="33" spans="1:4" x14ac:dyDescent="0.25">
      <c r="A33" t="s">
        <v>42</v>
      </c>
      <c r="B33" t="s">
        <v>44</v>
      </c>
      <c r="C33" s="7"/>
      <c r="D33" s="8"/>
    </row>
    <row r="34" spans="1:4" x14ac:dyDescent="0.25">
      <c r="A34" t="s">
        <v>42</v>
      </c>
      <c r="B34" t="s">
        <v>44</v>
      </c>
      <c r="C34" s="7"/>
      <c r="D34" s="8"/>
    </row>
    <row r="35" spans="1:4" x14ac:dyDescent="0.25">
      <c r="A35" t="s">
        <v>42</v>
      </c>
      <c r="B35" t="s">
        <v>44</v>
      </c>
      <c r="C35" s="7"/>
      <c r="D35" s="8"/>
    </row>
    <row r="36" spans="1:4" x14ac:dyDescent="0.25">
      <c r="A36" t="s">
        <v>45</v>
      </c>
      <c r="B36" t="s">
        <v>47</v>
      </c>
      <c r="C36" s="7"/>
      <c r="D36" s="8"/>
    </row>
    <row r="37" spans="1:4" x14ac:dyDescent="0.25">
      <c r="A37" t="s">
        <v>45</v>
      </c>
      <c r="B37" t="s">
        <v>47</v>
      </c>
      <c r="C37" s="7"/>
      <c r="D37" s="8"/>
    </row>
    <row r="38" spans="1:4" x14ac:dyDescent="0.25">
      <c r="A38" t="s">
        <v>45</v>
      </c>
      <c r="B38" t="s">
        <v>47</v>
      </c>
      <c r="C38" s="7"/>
      <c r="D38" s="8"/>
    </row>
    <row r="39" spans="1:4" x14ac:dyDescent="0.25">
      <c r="A39" t="s">
        <v>48</v>
      </c>
      <c r="B39" t="s">
        <v>50</v>
      </c>
      <c r="C39" s="2"/>
      <c r="D39" s="2"/>
    </row>
    <row r="40" spans="1:4" x14ac:dyDescent="0.25">
      <c r="A40" t="s">
        <v>48</v>
      </c>
      <c r="B40" t="s">
        <v>50</v>
      </c>
      <c r="C40" s="2"/>
      <c r="D40" s="2"/>
    </row>
    <row r="41" spans="1:4" x14ac:dyDescent="0.25">
      <c r="A41" t="s">
        <v>48</v>
      </c>
      <c r="B41" t="s">
        <v>50</v>
      </c>
      <c r="C41" s="2"/>
      <c r="D41" s="2"/>
    </row>
    <row r="42" spans="1:4" x14ac:dyDescent="0.25">
      <c r="A42" t="s">
        <v>51</v>
      </c>
      <c r="B42" t="s">
        <v>53</v>
      </c>
      <c r="C42" s="2"/>
      <c r="D42" s="2"/>
    </row>
    <row r="43" spans="1:4" x14ac:dyDescent="0.25">
      <c r="A43" t="s">
        <v>51</v>
      </c>
      <c r="B43" t="s">
        <v>53</v>
      </c>
      <c r="C43" s="2"/>
      <c r="D43" s="2"/>
    </row>
    <row r="44" spans="1:4" x14ac:dyDescent="0.25">
      <c r="A44" t="s">
        <v>51</v>
      </c>
      <c r="B44" t="s">
        <v>53</v>
      </c>
      <c r="C44" s="2"/>
      <c r="D44" s="2"/>
    </row>
    <row r="45" spans="1:4" x14ac:dyDescent="0.25">
      <c r="C45" s="2"/>
      <c r="D45" s="2"/>
    </row>
    <row r="46" spans="1:4" x14ac:dyDescent="0.25">
      <c r="C46" s="2"/>
      <c r="D46" s="2"/>
    </row>
    <row r="47" spans="1:4" x14ac:dyDescent="0.25">
      <c r="C47" s="2"/>
      <c r="D47" s="2"/>
    </row>
    <row r="48" spans="1:4" x14ac:dyDescent="0.25">
      <c r="C48" s="2"/>
      <c r="D48" s="2"/>
    </row>
    <row r="49" spans="3:4" x14ac:dyDescent="0.25">
      <c r="C49" s="2"/>
      <c r="D49" s="2"/>
    </row>
    <row r="50" spans="3:4" x14ac:dyDescent="0.25">
      <c r="C50" s="2"/>
      <c r="D50" s="2"/>
    </row>
    <row r="51" spans="3:4" x14ac:dyDescent="0.25">
      <c r="C51" s="2"/>
      <c r="D51" s="2"/>
    </row>
    <row r="52" spans="3:4" x14ac:dyDescent="0.25">
      <c r="C52" s="2"/>
      <c r="D52" s="2"/>
    </row>
    <row r="53" spans="3:4" x14ac:dyDescent="0.25">
      <c r="C53" s="2"/>
      <c r="D53" s="2"/>
    </row>
    <row r="54" spans="3:4" x14ac:dyDescent="0.25">
      <c r="C54" s="2"/>
      <c r="D54" s="2"/>
    </row>
    <row r="55" spans="3:4" x14ac:dyDescent="0.25">
      <c r="C55" s="2"/>
      <c r="D55" s="2"/>
    </row>
    <row r="56" spans="3:4" x14ac:dyDescent="0.25">
      <c r="C56" s="2"/>
      <c r="D56" s="2"/>
    </row>
    <row r="57" spans="3:4" x14ac:dyDescent="0.25">
      <c r="C57" s="2"/>
      <c r="D57" s="2"/>
    </row>
    <row r="58" spans="3:4" x14ac:dyDescent="0.25">
      <c r="C58" s="2"/>
      <c r="D58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Campaigns_Data</vt:lpstr>
      <vt:lpstr>Sheet1</vt:lpstr>
      <vt:lpstr>Campaign 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 Sreekar Parasa</cp:lastModifiedBy>
  <dcterms:created xsi:type="dcterms:W3CDTF">2025-01-14T15:49:16Z</dcterms:created>
  <dcterms:modified xsi:type="dcterms:W3CDTF">2025-01-28T16:54:25Z</dcterms:modified>
</cp:coreProperties>
</file>